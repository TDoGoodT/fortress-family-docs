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lbitsystems-my.sharepoint.com/personal/meir_oren_elbitsystems_com/Documents/Desktop/"/>
    </mc:Choice>
  </mc:AlternateContent>
  <xr:revisionPtr revIDLastSave="93" documentId="8_{BB8EFFB1-CA5F-400E-8C4B-F53C11E0799B}" xr6:coauthVersionLast="47" xr6:coauthVersionMax="47" xr10:uidLastSave="{393E9117-14A0-4915-9FA7-8A30D76A53E8}"/>
  <bookViews>
    <workbookView xWindow="-110" yWindow="-110" windowWidth="19420" windowHeight="10300" activeTab="5" xr2:uid="{00000000-000D-0000-FFFF-FFFF00000000}"/>
  </bookViews>
  <sheets>
    <sheet name="הערות לקבלן" sheetId="2" r:id="rId1"/>
    <sheet name="הריסה " sheetId="3" r:id="rId2"/>
    <sheet name="בניה" sheetId="4" r:id="rId3"/>
    <sheet name="חשמל ותקשורת " sheetId="5" r:id="rId4"/>
    <sheet name="אינסטלציה" sheetId="6" r:id="rId5"/>
    <sheet name="חיפוי וריצוף" sheetId="7" r:id="rId6"/>
    <sheet name="Sheet2" sheetId="14" r:id="rId7"/>
    <sheet name="Sheet3" sheetId="15" r:id="rId8"/>
    <sheet name="טיח צבע ושפכטל" sheetId="8" r:id="rId9"/>
    <sheet name="איטום" sheetId="9" state="hidden" r:id="rId10"/>
    <sheet name="דלתות וחלונות" sheetId="10" state="hidden" r:id="rId11"/>
    <sheet name="חוץ ושונות" sheetId="11" state="hidden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9LoHC2yggT7eZCYasUHEYc8fGPlQa4EL/JMvjp1n+bU="/>
    </ext>
  </extLst>
</workbook>
</file>

<file path=xl/calcChain.xml><?xml version="1.0" encoding="utf-8"?>
<calcChain xmlns="http://schemas.openxmlformats.org/spreadsheetml/2006/main">
  <c r="D26" i="2" l="1"/>
  <c r="F36" i="6"/>
  <c r="F16" i="4"/>
  <c r="F6" i="3"/>
  <c r="F5" i="4"/>
  <c r="F4" i="4" l="1"/>
  <c r="F9" i="5"/>
  <c r="F8" i="7"/>
  <c r="F23" i="7"/>
  <c r="F21" i="7"/>
  <c r="F20" i="7"/>
  <c r="F5" i="7"/>
  <c r="F4" i="7"/>
  <c r="F33" i="6" l="1"/>
  <c r="F34" i="6"/>
  <c r="F14" i="11"/>
  <c r="F13" i="11"/>
  <c r="F12" i="11"/>
  <c r="F5" i="11"/>
  <c r="F4" i="11"/>
  <c r="F3" i="11"/>
  <c r="F6" i="11" s="1"/>
  <c r="D24" i="2" s="1"/>
  <c r="F18" i="10"/>
  <c r="F17" i="10"/>
  <c r="F16" i="10"/>
  <c r="F15" i="10"/>
  <c r="F8" i="10"/>
  <c r="F7" i="10"/>
  <c r="F6" i="10"/>
  <c r="F5" i="10"/>
  <c r="F4" i="10"/>
  <c r="F3" i="10"/>
  <c r="F6" i="9"/>
  <c r="F5" i="9"/>
  <c r="F4" i="9"/>
  <c r="F3" i="9"/>
  <c r="F11" i="8"/>
  <c r="F7" i="8"/>
  <c r="F6" i="8"/>
  <c r="F30" i="7"/>
  <c r="F29" i="7"/>
  <c r="F28" i="7"/>
  <c r="F27" i="7"/>
  <c r="F26" i="7"/>
  <c r="F24" i="7"/>
  <c r="F22" i="7"/>
  <c r="F17" i="7"/>
  <c r="F15" i="7"/>
  <c r="F14" i="7"/>
  <c r="F12" i="7"/>
  <c r="F11" i="7"/>
  <c r="F10" i="7"/>
  <c r="F9" i="7"/>
  <c r="F7" i="7"/>
  <c r="F6" i="7"/>
  <c r="F27" i="6"/>
  <c r="F25" i="6"/>
  <c r="F24" i="6"/>
  <c r="F23" i="6"/>
  <c r="F22" i="6"/>
  <c r="F19" i="6"/>
  <c r="F17" i="6"/>
  <c r="F11" i="6"/>
  <c r="F35" i="5"/>
  <c r="F34" i="5"/>
  <c r="F33" i="5"/>
  <c r="F32" i="5"/>
  <c r="F31" i="5"/>
  <c r="F30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1" i="5"/>
  <c r="F10" i="5"/>
  <c r="F8" i="5"/>
  <c r="F7" i="5"/>
  <c r="F14" i="4"/>
  <c r="F12" i="4"/>
  <c r="F11" i="4"/>
  <c r="F9" i="4"/>
  <c r="F8" i="4"/>
  <c r="F7" i="4"/>
  <c r="F6" i="4"/>
  <c r="F3" i="4"/>
  <c r="F38" i="3"/>
  <c r="F36" i="3"/>
  <c r="F35" i="3"/>
  <c r="F33" i="3"/>
  <c r="F31" i="3"/>
  <c r="F28" i="3"/>
  <c r="F27" i="3"/>
  <c r="F26" i="3"/>
  <c r="F25" i="3"/>
  <c r="F17" i="3"/>
  <c r="F15" i="3"/>
  <c r="F14" i="3"/>
  <c r="F11" i="3"/>
  <c r="F10" i="3"/>
  <c r="F9" i="3"/>
  <c r="F8" i="3"/>
  <c r="F7" i="3"/>
  <c r="F5" i="3"/>
  <c r="F4" i="3"/>
  <c r="F19" i="10" l="1"/>
  <c r="D23" i="2" s="1"/>
  <c r="F9" i="10"/>
  <c r="D22" i="2" s="1"/>
  <c r="F39" i="3"/>
  <c r="D15" i="2" s="1"/>
  <c r="F15" i="11"/>
  <c r="D25" i="2" s="1"/>
  <c r="D18" i="2"/>
  <c r="F31" i="7"/>
  <c r="D19" i="2" s="1"/>
  <c r="F36" i="5"/>
  <c r="D17" i="2" s="1"/>
  <c r="F7" i="9"/>
  <c r="F15" i="8"/>
  <c r="D20" i="2" s="1"/>
  <c r="D16" i="2"/>
  <c r="D27" i="2" l="1"/>
</calcChain>
</file>

<file path=xl/sharedStrings.xml><?xml version="1.0" encoding="utf-8"?>
<sst xmlns="http://schemas.openxmlformats.org/spreadsheetml/2006/main" count="705" uniqueCount="457">
  <si>
    <t xml:space="preserve">להלן מפרט העבודות הנדרש לשיפוץ הדירה. יש למלא את המחירים החסרים. אין לבצע שינוי בכתב ובמפרט ההצעה. </t>
  </si>
  <si>
    <t xml:space="preserve">רשימה זו נועדה להרחיב את סט התוכניות המוגש ומצ"ב. יש להקפיד לעבור על סט התוכניות במקביל למפרט. </t>
  </si>
  <si>
    <t xml:space="preserve">כתב הכמויות נועד לשם הצעת מחיר בלבד ועל בסיס סט התוכניות. במעבר לתוכניות ביצוע ייתכנו שינויים באלמנטים השונים ובכמויות. </t>
  </si>
  <si>
    <t>סיכום</t>
  </si>
  <si>
    <t>מחיר</t>
  </si>
  <si>
    <t>הערות</t>
  </si>
  <si>
    <t>הריסה</t>
  </si>
  <si>
    <t>בניה</t>
  </si>
  <si>
    <t>חשמל תאורה ותקשורת</t>
  </si>
  <si>
    <t>אינסטלציה</t>
  </si>
  <si>
    <t>חיפוי ריצוף ואבן</t>
  </si>
  <si>
    <t>טיח, צבע שפכטל</t>
  </si>
  <si>
    <t xml:space="preserve">איטום חדרי רחצה </t>
  </si>
  <si>
    <t>דלתות</t>
  </si>
  <si>
    <t xml:space="preserve">חלונות </t>
  </si>
  <si>
    <t xml:space="preserve">חוץ </t>
  </si>
  <si>
    <t>שונות</t>
  </si>
  <si>
    <t>מע"מ</t>
  </si>
  <si>
    <t xml:space="preserve">הנחה </t>
  </si>
  <si>
    <t xml:space="preserve">העבודות יבוצעו בהתאם לתקנים ולדרישות התכנון. </t>
  </si>
  <si>
    <t xml:space="preserve">אספקת אריחים, כלי סניטציה, מקלחונים, נגרות- באחריות הלקוח. </t>
  </si>
  <si>
    <t xml:space="preserve">כל שאר חומרי העבודה והעזר הנדרשים לביצוע-  באחריות קבלן. </t>
  </si>
  <si>
    <t xml:space="preserve">באחריות הקבלן השארת המקום נקי ומסודר בסיום כל שלב, שמירה על סביבת הבניין נקייה וקיום יחסי שכנות טובים עם הדיירים הסמוכים במהלך השיפוץ. </t>
  </si>
  <si>
    <t xml:space="preserve">יש להקפיד על שעות עבודה לפי חוקי ותקנות הרעש. </t>
  </si>
  <si>
    <t>הכמויות המצויינות לא כוללות פחת</t>
  </si>
  <si>
    <t>פרק 1</t>
  </si>
  <si>
    <t xml:space="preserve">הריסה </t>
  </si>
  <si>
    <t>סעיף</t>
  </si>
  <si>
    <t>פירוט</t>
  </si>
  <si>
    <t>יחידות</t>
  </si>
  <si>
    <t>כמות</t>
  </si>
  <si>
    <t>מחיר ליח'</t>
  </si>
  <si>
    <t>סה"כ</t>
  </si>
  <si>
    <t>הריסות וחציבות בבטון/בלוקים/גבס</t>
  </si>
  <si>
    <t>1.1</t>
  </si>
  <si>
    <t>פירוק ופינוי קירות פנים בלוק 7-10</t>
  </si>
  <si>
    <t>מ"ר</t>
  </si>
  <si>
    <t>1.2</t>
  </si>
  <si>
    <t xml:space="preserve">פירוק מחיצות גבס קיימות, לרבות מסלולים וניצבים מפלדה </t>
  </si>
  <si>
    <t>1.3</t>
  </si>
  <si>
    <t xml:space="preserve">שבירת תקרת בוידעם </t>
  </si>
  <si>
    <t>1.4</t>
  </si>
  <si>
    <t>הריסת מרצפי בטון קומפלט</t>
  </si>
  <si>
    <t xml:space="preserve">מ"ר </t>
  </si>
  <si>
    <t>1.5</t>
  </si>
  <si>
    <t>חציבה/הגדלת פתחי קירות, לרבות עיבוד צורת הפתח ע"י בטון וטיח</t>
  </si>
  <si>
    <t>1.6</t>
  </si>
  <si>
    <t>פירוק תקרה אקוסטית/ גבס קיימת-</t>
  </si>
  <si>
    <t xml:space="preserve"> לרבות אלמנטי תלייה, גופי תאורה ובידוד במידה ויש</t>
  </si>
  <si>
    <t>1.7</t>
  </si>
  <si>
    <t>הריסת מעקה בנוי ומטוייח לרבות חגורות בטון</t>
  </si>
  <si>
    <t>1.8</t>
  </si>
  <si>
    <t>פירוק ופינוי עמוד קונסטרוקטיבי במטבח</t>
  </si>
  <si>
    <t>קומפלט</t>
  </si>
  <si>
    <t>בתכנון, הנחייה, פיקוח ואישור מהנדס</t>
  </si>
  <si>
    <t xml:space="preserve">פירוקים בריצוף וחיפוי </t>
  </si>
  <si>
    <t xml:space="preserve">עקירת אריחי ריצוף כפול ופינוי כולל מצע - למכולת אשפה </t>
  </si>
  <si>
    <t>פירוק קרמיקה/חרסינה מקירות שאינם מיועדים להריסה</t>
  </si>
  <si>
    <t xml:space="preserve">חדר רחצה הורים, ילדים, מטבח - לרבות סיתות שכבת הטיט מהקיר </t>
  </si>
  <si>
    <t xml:space="preserve">פירוק ופינוי פנלים קיימים </t>
  </si>
  <si>
    <t>פירוק ופינוי פרקט למינציה חדר הורים</t>
  </si>
  <si>
    <t xml:space="preserve">פירוק אינסטלציה </t>
  </si>
  <si>
    <t>יח'</t>
  </si>
  <si>
    <t>1.15</t>
  </si>
  <si>
    <t>פירוק כיורים קיימים מחרס/נירוסטה עם כל אביזריהם</t>
  </si>
  <si>
    <t>פירוק אמבטיה כולל כל האביזרים וניתוק מקווי מים ונקזים</t>
  </si>
  <si>
    <t xml:space="preserve">כולל סתימת פתחים לפי צורך </t>
  </si>
  <si>
    <t>1.17</t>
  </si>
  <si>
    <t>פירוק ברזי מקלחת קיימים כולל כל האביזרים וניתוק מקווי מים</t>
  </si>
  <si>
    <t>פירוק סוללות מים למים חמים וקרים כולל ניתוק מקווי מים</t>
  </si>
  <si>
    <t>מ"א</t>
  </si>
  <si>
    <t>1.20</t>
  </si>
  <si>
    <t>פירוק דוד מים חמים לרבות צנרת חשמל</t>
  </si>
  <si>
    <t>פירוק מערכת דוד שמש דירתי לרבות קולטנים צנרת וחשמל</t>
  </si>
  <si>
    <t>1.22</t>
  </si>
  <si>
    <t xml:space="preserve">ניקוי ושטיפה של קולטן שמש דירתי </t>
  </si>
  <si>
    <t xml:space="preserve">פירוקים בעבודות נגרות ומסגרות </t>
  </si>
  <si>
    <t>1.23</t>
  </si>
  <si>
    <t xml:space="preserve">פירוק ופינוי דלתות פנים כולל משקופים </t>
  </si>
  <si>
    <t>1.24</t>
  </si>
  <si>
    <t xml:space="preserve">קיצור דלתות </t>
  </si>
  <si>
    <t>1.25</t>
  </si>
  <si>
    <t xml:space="preserve">פירוק פינוי ארונות חדרי שינה / חדרי ארונות </t>
  </si>
  <si>
    <t xml:space="preserve">פירוק ופינוי ארונות חדרי רחצה </t>
  </si>
  <si>
    <t>יח</t>
  </si>
  <si>
    <t>1.27</t>
  </si>
  <si>
    <t xml:space="preserve">פירוק ופינוי מטבח </t>
  </si>
  <si>
    <t>1.28</t>
  </si>
  <si>
    <t>פירוק חלונות ומשקופים</t>
  </si>
  <si>
    <t>1.29</t>
  </si>
  <si>
    <t xml:space="preserve">פירוק ופינוי דלת כניסה - עץ/ברזל / פלדלת </t>
  </si>
  <si>
    <t xml:space="preserve">כללי </t>
  </si>
  <si>
    <t>1.30</t>
  </si>
  <si>
    <t xml:space="preserve">פירוק ופינוי סורגים לחלונות </t>
  </si>
  <si>
    <t xml:space="preserve">סה"כ  הריסה: </t>
  </si>
  <si>
    <t>ההריסה / הפירוק / הפינוי כוללים גם את פינוי הפסולת לאתר מורשה בהתאם לדרישות העירייה/מועצה</t>
  </si>
  <si>
    <t>בסיום שלב פירוק פתחים תבוצע סגירה זמנית נאותה של הפתחים כדי למנוע כניסה עד להרכבת חלונות ודלתות חדשים</t>
  </si>
  <si>
    <t xml:space="preserve">יש להתייעץ עם קונסטרוקטור לפני הריסת קירות וגגות. </t>
  </si>
  <si>
    <t>פרק 2</t>
  </si>
  <si>
    <t xml:space="preserve">בניה </t>
  </si>
  <si>
    <t>2.1</t>
  </si>
  <si>
    <t>2.2</t>
  </si>
  <si>
    <t xml:space="preserve">בניית קיר כפול לדלת </t>
  </si>
  <si>
    <t>דלת סקריניו / הזזה - תסופק ע"י המזמין</t>
  </si>
  <si>
    <t>2.3</t>
  </si>
  <si>
    <t>התקנת קורת פלדה במקום העמוד שבוטל</t>
  </si>
  <si>
    <t>בתכנון, הנחייה פיקוח ואישור מהנדס</t>
  </si>
  <si>
    <t>2.4</t>
  </si>
  <si>
    <t xml:space="preserve">הנמכות גבס לפי תוכנית </t>
  </si>
  <si>
    <t>2.5</t>
  </si>
  <si>
    <t>בניית מעקה בלוק בטון חול עובי 7/10/25 גובה - X</t>
  </si>
  <si>
    <t>2.6</t>
  </si>
  <si>
    <t>בניית ספסל בחדר רחצה הורים- יצוק בטון</t>
  </si>
  <si>
    <t>2.7</t>
  </si>
  <si>
    <t xml:space="preserve">עיבוי קיר חדר רחצה כולל נישת סבונים </t>
  </si>
  <si>
    <t>יש לבחון אופציה לחציבה בקיר קיים</t>
  </si>
  <si>
    <t>2.8</t>
  </si>
  <si>
    <t>סגירת פתחים - דלת/חלון</t>
  </si>
  <si>
    <t>2.9</t>
  </si>
  <si>
    <t>2.10</t>
  </si>
  <si>
    <t>תוספת עבור החלקת רצפת בטון- הליקופטר</t>
  </si>
  <si>
    <t xml:space="preserve">סה"כ  בניה: </t>
  </si>
  <si>
    <t>פרק 3</t>
  </si>
  <si>
    <t>חשמל, תאורה ותקשורת</t>
  </si>
  <si>
    <t>חשמל ותקשורת</t>
  </si>
  <si>
    <t>3.1</t>
  </si>
  <si>
    <t>ע"פ הנחיית חשמלאי מוסמך</t>
  </si>
  <si>
    <t>3.2</t>
  </si>
  <si>
    <t xml:space="preserve">לוח חשמל תלת פאזי + ביקורת חברת חשמל </t>
  </si>
  <si>
    <t>3.3</t>
  </si>
  <si>
    <t xml:space="preserve">נקודת שקע חדשה </t>
  </si>
  <si>
    <t xml:space="preserve">לשים לב למוגנות מים בחדרים רטובים </t>
  </si>
  <si>
    <t>3.4</t>
  </si>
  <si>
    <t>3.5</t>
  </si>
  <si>
    <t xml:space="preserve">לעדכן מרחק עבור צינור ההשחלה- מנק' לנק' </t>
  </si>
  <si>
    <t>3.6</t>
  </si>
  <si>
    <t>3.7</t>
  </si>
  <si>
    <t xml:space="preserve">ביטול נק' קיימת </t>
  </si>
  <si>
    <t>3.8</t>
  </si>
  <si>
    <t xml:space="preserve">שינוי מיקום נק' קיימת עד 1 מטר </t>
  </si>
  <si>
    <t>3.9</t>
  </si>
  <si>
    <t xml:space="preserve">התקנת תלת פאזי </t>
  </si>
  <si>
    <t>3.10</t>
  </si>
  <si>
    <t xml:space="preserve">התקנת אביזר טיימר לדוד מים </t>
  </si>
  <si>
    <t>3.11</t>
  </si>
  <si>
    <t>3.12</t>
  </si>
  <si>
    <t>3.13</t>
  </si>
  <si>
    <t>3.14</t>
  </si>
  <si>
    <t>נקודת כוח קו נפרד לדוד מים</t>
  </si>
  <si>
    <t>3.15</t>
  </si>
  <si>
    <t>נקודת כוח קו נפרד לתנור אמבטיה</t>
  </si>
  <si>
    <t>3.16</t>
  </si>
  <si>
    <t>נקודת טלפון בזק כולל כבל ושקע</t>
  </si>
  <si>
    <t>3.17</t>
  </si>
  <si>
    <t>נקודת הכנה לרמקול</t>
  </si>
  <si>
    <t>3.18</t>
  </si>
  <si>
    <t>תוספת למוגן מים הרמטי</t>
  </si>
  <si>
    <t>3.19</t>
  </si>
  <si>
    <t>נק' לתריס חשמלי כולל נק' הדלקה</t>
  </si>
  <si>
    <t>3.20</t>
  </si>
  <si>
    <t xml:space="preserve">אינטרקום </t>
  </si>
  <si>
    <t>3.21</t>
  </si>
  <si>
    <t xml:space="preserve">במידת הצורך הטמעת צנרת מיזוג בקירות </t>
  </si>
  <si>
    <t>3.22</t>
  </si>
  <si>
    <t>נק' פעמון + פעמון סטנדרטי</t>
  </si>
  <si>
    <t>3.23</t>
  </si>
  <si>
    <t xml:space="preserve">נקודת כוח מכשירים </t>
  </si>
  <si>
    <t xml:space="preserve">תאורה </t>
  </si>
  <si>
    <t>3.24</t>
  </si>
  <si>
    <t>נקודת מאור קיר או תקרה</t>
  </si>
  <si>
    <t xml:space="preserve">מפסקים בהתאם </t>
  </si>
  <si>
    <t>3.25</t>
  </si>
  <si>
    <t>נקודת מאור חילוף</t>
  </si>
  <si>
    <t>3.26</t>
  </si>
  <si>
    <t>נקודת מאור - תוספת למאוורר</t>
  </si>
  <si>
    <t>3.27</t>
  </si>
  <si>
    <t xml:space="preserve">הזזת נק' מאור עד 1 מ' </t>
  </si>
  <si>
    <t>3.28</t>
  </si>
  <si>
    <t xml:space="preserve">ביטול נק' מאור קיימת </t>
  </si>
  <si>
    <t>3.29</t>
  </si>
  <si>
    <t xml:space="preserve">התקנת גוף תאורה (רגיל. לא מורכב) </t>
  </si>
  <si>
    <t xml:space="preserve">סה"כ תאורה תקשורת וחשמל </t>
  </si>
  <si>
    <t>כל האביזרים כגון שקעים ומתגי הדלקה חברת גביס' (או שווה ערך) וכלולים במחיר הנק'.</t>
  </si>
  <si>
    <t>פרק 4</t>
  </si>
  <si>
    <t xml:space="preserve">אינסטלציה </t>
  </si>
  <si>
    <t xml:space="preserve">מטבח </t>
  </si>
  <si>
    <t>4.1</t>
  </si>
  <si>
    <t>נקודת מים לכיור- חמים קרים</t>
  </si>
  <si>
    <t>4.2</t>
  </si>
  <si>
    <t>הכנה לחיבור מדיח כלים, ברז שופך מצופה כרום, צינור גומי למדיח וכל החיבורים הנדרשים למע' הביוב והמים</t>
  </si>
  <si>
    <t>4.3</t>
  </si>
  <si>
    <t>נקודת מים למקרר</t>
  </si>
  <si>
    <t>4.4</t>
  </si>
  <si>
    <t>נקודת מים לתמי 4</t>
  </si>
  <si>
    <t>4.5</t>
  </si>
  <si>
    <t>הכנת תשתית גז כולל ביקורת טכנאי גז</t>
  </si>
  <si>
    <t>קומפ'</t>
  </si>
  <si>
    <t>חדר רחצה - הורים</t>
  </si>
  <si>
    <t>4.6</t>
  </si>
  <si>
    <t xml:space="preserve">נקודה + התקנת אסלה תלויה עם מיכל הדחה סמוי למים קרים וביוב. </t>
  </si>
  <si>
    <t xml:space="preserve">כולל חיזוק וביטון הניאגרה וסגירה בגבס. </t>
  </si>
  <si>
    <t>4.7</t>
  </si>
  <si>
    <t>התקנת אסלה רגילה (מונובלוק) מיכל הדחה וברז מהקיר</t>
  </si>
  <si>
    <t>4.8</t>
  </si>
  <si>
    <t>נק' מים לכיור רחצה - חמים קרים</t>
  </si>
  <si>
    <t>יש לציין במידה והברז מהקיר</t>
  </si>
  <si>
    <t>4.9</t>
  </si>
  <si>
    <t xml:space="preserve">נק' מים למקלחת- מערכת קיר 4 דרך מים חמים-קרים + ראש מקלחת, מזלף יד ומחסום רצפה. </t>
  </si>
  <si>
    <t xml:space="preserve">לעדכן במידה ו-3 דרך </t>
  </si>
  <si>
    <t>4.10</t>
  </si>
  <si>
    <t xml:space="preserve">נק'+התקנת אסלה תלויה עם מיכל הדחה סמוי למים קרים וביוב. </t>
  </si>
  <si>
    <t>4.11</t>
  </si>
  <si>
    <t>4.12</t>
  </si>
  <si>
    <t>4.13</t>
  </si>
  <si>
    <t>4.14</t>
  </si>
  <si>
    <t>נק' מים לאמבטיה- מערכת קיר 4 דרך מים חמים-קרים + פיית מילוי, מזלף יד והתקנת האמבטיה 170/70</t>
  </si>
  <si>
    <t xml:space="preserve">שירותי אורחים </t>
  </si>
  <si>
    <t>4.15</t>
  </si>
  <si>
    <t>4.16</t>
  </si>
  <si>
    <t>4.17</t>
  </si>
  <si>
    <t>4.18</t>
  </si>
  <si>
    <t xml:space="preserve">העברת נק' ביובי 4 צול </t>
  </si>
  <si>
    <t xml:space="preserve">חדר שירות </t>
  </si>
  <si>
    <t>4.19</t>
  </si>
  <si>
    <t>4.20</t>
  </si>
  <si>
    <t xml:space="preserve">הכנה לחיבור מכונת כביסה, ברז שופך מצופה כרום, כל החיבורים הנדרשים למע' הביוב והמים. כולל אספקת סוללה </t>
  </si>
  <si>
    <t>4.21</t>
  </si>
  <si>
    <t>ניקוז למייבש כביסה</t>
  </si>
  <si>
    <t>4.22</t>
  </si>
  <si>
    <t xml:space="preserve">חיבור מים קרים לדוד מים </t>
  </si>
  <si>
    <t>4.23</t>
  </si>
  <si>
    <t>נק' מים חיצוניות (קרים)</t>
  </si>
  <si>
    <t>4.24</t>
  </si>
  <si>
    <t>הכנת לתשתית השקיית גינה</t>
  </si>
  <si>
    <t>4.25</t>
  </si>
  <si>
    <t xml:space="preserve">צנרת מים לדוד חשמלי </t>
  </si>
  <si>
    <t xml:space="preserve">סה"כ אינסטלציה  </t>
  </si>
  <si>
    <t xml:space="preserve">כל נק' התברואה המצויינות כוללות את כל הצנרת הנדרשת, הרכבת כלים סניטריים, הסוללות וכל הנדרש לחיבור למע' הביוב והמים, </t>
  </si>
  <si>
    <t xml:space="preserve">חציבה בקירות ותיקונם לאחר ההתקנה. </t>
  </si>
  <si>
    <t>כולל אביזרים וחומר שחור. ברזי ניל וסיפונים- באחריות הקבלן</t>
  </si>
  <si>
    <t>כל האביזרים הסניטריים והברזים יסופקו ע"י המזמין. באחריות הקבלן בדיקת תקינות הכלים הסניטריים ובכל בעיה יש לעדכן את הלקוח</t>
  </si>
  <si>
    <t xml:space="preserve">באחריות הקבלן- בדיקת מצב רטיבות ובדיקת צנרת. </t>
  </si>
  <si>
    <t>יש לבטן את צנרת המים.</t>
  </si>
  <si>
    <t xml:space="preserve">מע' המים החמים והקרים והביוב תתבסס על מע' הקיימת בשטח. </t>
  </si>
  <si>
    <t>יש לוודא שתאי הביקורת ימוקמו מתחת לארונות הכיורים או במקום מוצנע בתיאום עם המעצב/המזמין</t>
  </si>
  <si>
    <t>פרק 5</t>
  </si>
  <si>
    <t xml:space="preserve">ריצוף, חיפוי ואבן </t>
  </si>
  <si>
    <t xml:space="preserve">ריצוף </t>
  </si>
  <si>
    <t>5.1</t>
  </si>
  <si>
    <t xml:space="preserve">לעדכן גודל אריח </t>
  </si>
  <si>
    <t>5.2</t>
  </si>
  <si>
    <t>5.3</t>
  </si>
  <si>
    <t>ריצוף חדר רחצההורים גרניט פורצלן   30/30 לרבות פנלים</t>
  </si>
  <si>
    <t>5.4</t>
  </si>
  <si>
    <t>ריצוף חדר רחצה  ילדים גרניט פורצלן   30/30 לרבות פנלים</t>
  </si>
  <si>
    <t>5.5</t>
  </si>
  <si>
    <t>5.6</t>
  </si>
  <si>
    <t>ריצוף באריחי שיש/אבן טבעית לרבות שיפולים</t>
  </si>
  <si>
    <t>5.7</t>
  </si>
  <si>
    <t>ריצוף חוץ אנטיסליפ כולל יציקות ומילוי אדמת גן</t>
  </si>
  <si>
    <t>5.8</t>
  </si>
  <si>
    <t>הכנת תשתית מדרגות</t>
  </si>
  <si>
    <t>5.9</t>
  </si>
  <si>
    <t xml:space="preserve">יצירת שיפועים והנמכות נדרשים עבור ניקוז בהתאם לתוכנית. </t>
  </si>
  <si>
    <t xml:space="preserve">שימוש בפסי ניקל בהתאם לצורך. </t>
  </si>
  <si>
    <t>5.10</t>
  </si>
  <si>
    <t>5.11</t>
  </si>
  <si>
    <t>פרקטים- יסופקו ע"י המזמין + פנלים. באחריות הקבלן הכנת הבית להתקנת הפרקט (התקנה ע"י נתקיןם פרקטים / באחריות הקבלן)</t>
  </si>
  <si>
    <t>5.12</t>
  </si>
  <si>
    <t>ביצוע מדה מתפלסת לאחר הנחת הצנרת החדשה לפי הנדרש</t>
  </si>
  <si>
    <t xml:space="preserve">עובי 1 ס"מ כהכנה לפרקט/שטיח. </t>
  </si>
  <si>
    <t>5.13</t>
  </si>
  <si>
    <t xml:space="preserve">תיקוני ריצוף בקירות שנשברו </t>
  </si>
  <si>
    <t>5.14</t>
  </si>
  <si>
    <t>הריצוף יבוצע בהדבקה על גבי ריצוף קיים. העבודה תתבצע בשלמות כולל חומר שחור</t>
  </si>
  <si>
    <t>5.15</t>
  </si>
  <si>
    <t>פירוק ריצוף קיים+פינוי חצץ/סומסום עבור ייבוש הרצפה לפני התקנת ריצוף חדש. בהתאם הכנת תשתית חדשה לריצוף- אספקת מצע יבש ופיזורו</t>
  </si>
  <si>
    <t>חיפוי קיר</t>
  </si>
  <si>
    <t>5.16</t>
  </si>
  <si>
    <t>5.17</t>
  </si>
  <si>
    <t>5.18</t>
  </si>
  <si>
    <t>חיפוי קיר שרותי אורחים- אריחים 20/90</t>
  </si>
  <si>
    <t>5.19</t>
  </si>
  <si>
    <t>5.20</t>
  </si>
  <si>
    <t xml:space="preserve">התקנת פס דקור קרמיקה </t>
  </si>
  <si>
    <t>משטחי אבן ושיש</t>
  </si>
  <si>
    <t>5.21</t>
  </si>
  <si>
    <t>משטח אבן שיש חברון עובי 2 ס"מ כולל מדידה, הרכבה והובלה</t>
  </si>
  <si>
    <t xml:space="preserve">לעדכן סוג אבן </t>
  </si>
  <si>
    <t>5.22</t>
  </si>
  <si>
    <t>משטחי קוורץ אבן קיסר/דקטון  (דגם ימסר בהמשך) בעובי 2/4 ס"מ</t>
  </si>
  <si>
    <t xml:space="preserve">כולל מדידה, הובלה והרכבה </t>
  </si>
  <si>
    <t>5.23</t>
  </si>
  <si>
    <t>גמר סרגל רגיל</t>
  </si>
  <si>
    <t>5.24</t>
  </si>
  <si>
    <t>חיתוך פתח לכיור + ברז</t>
  </si>
  <si>
    <t xml:space="preserve">יח' </t>
  </si>
  <si>
    <t>5.25</t>
  </si>
  <si>
    <t>אדני חלון מלוחות שיש "חברוני" מלוטש בעובי 3 ס"מ</t>
  </si>
  <si>
    <t>סה"כ  ריצוף חיפוי ואבן :</t>
  </si>
  <si>
    <t>הצבת מסחררי אוויר לייבוש הבטון (במידת הצורך- למחוק במידה ומיותר)</t>
  </si>
  <si>
    <t>אריחים יסופקו ע"י הלקוח</t>
  </si>
  <si>
    <t>שינוע מרצפות, אריחים, קרמיקה מהמדרכה לתוך הבית + תיאום אספקת האריחים מול הלקוחות- באחריות הקבלן</t>
  </si>
  <si>
    <t>יש לוודא חיתוכי גרונגים יפים</t>
  </si>
  <si>
    <t>אספקה והתקנת פסי ניקל/אלומיניום לדלתות/פינות - בהתאם לצורך</t>
  </si>
  <si>
    <t>אספקת רובה אקרילית ע"י הקבלן בהתאם לחברה+ מס' צבע שימסר ע"י המעצבת/הלקוח</t>
  </si>
  <si>
    <t xml:space="preserve">עיבוד רובה אקרילית חדשה בפוגות חיפויי קיר קיימים, לרבות ניקוי הפוגות. </t>
  </si>
  <si>
    <t>פרק 6</t>
  </si>
  <si>
    <t xml:space="preserve">טיח, צבע, שפכטל </t>
  </si>
  <si>
    <t xml:space="preserve">צבע </t>
  </si>
  <si>
    <t xml:space="preserve">צבע פנים סופרקריל בהתאם לחלוקת הגוונים שתימסר ע"י המזמין בהמשך. קומפלט לכל הדירה </t>
  </si>
  <si>
    <t xml:space="preserve">כולל תיקונים לאחר התקנת נגרות ודלתות. עד 4 גוונים שונים. </t>
  </si>
  <si>
    <t>צביעת תקרות פוליסיד לבן (חדרי רחצה- נגד עובש)</t>
  </si>
  <si>
    <t>צביעת דלתות ומשקופים- פוליאור</t>
  </si>
  <si>
    <t xml:space="preserve">חידוש צבע סורגים </t>
  </si>
  <si>
    <t xml:space="preserve">טיח </t>
  </si>
  <si>
    <t xml:space="preserve">תיקוני טיח וגליפים בכל מקום בו בוצעו הריסות/קירות חדשים/פירוק פנלים/ הונחה תשתית </t>
  </si>
  <si>
    <t>פינות טיח גרמניות בכל פינה נדרשת</t>
  </si>
  <si>
    <t xml:space="preserve">שליכט צבעוני </t>
  </si>
  <si>
    <t>סה"כ טיח שליכט וצבע:</t>
  </si>
  <si>
    <t xml:space="preserve">הערות </t>
  </si>
  <si>
    <t xml:space="preserve">העבודה כוללת את כל ההכנות הנדרשות לביצוע עבודת הצבע לפי הוראות יצרן, כולל מס' שכבות נדרש </t>
  </si>
  <si>
    <t>לפני תחילת עבודה יש להסיר צבע רופף, לפתוח סדקים קיימים ולמלא אותם בסיליקון, להוציא מסמרים, ברזלים, חוטי טלפון מיותרים וכד'</t>
  </si>
  <si>
    <t>לפני תחילת עבודה יש לשים מסקנטייפ על כל הפנלים והסרגלים בצורה מוקפדת</t>
  </si>
  <si>
    <t xml:space="preserve">עטיפה מושלמת של הבית כולל קרטונים ברצפה וניילונים לכל הדירה </t>
  </si>
  <si>
    <t xml:space="preserve">בקירות בהם יש טפט- יש לקלף את הטפט לפני תחילת עבודה ולהכין את הקיר לצביעה </t>
  </si>
  <si>
    <t>פרק 7</t>
  </si>
  <si>
    <t>איטום חדרי רחצה</t>
  </si>
  <si>
    <t>7.1</t>
  </si>
  <si>
    <t>7.2</t>
  </si>
  <si>
    <t>הוצאת חול עד לרתפת בטון+ רולטקות בטון בפינות</t>
  </si>
  <si>
    <t>7.3</t>
  </si>
  <si>
    <t>מריחת סיקה טופ 107 למניעת עובש ופטריות ב-2 שכבות</t>
  </si>
  <si>
    <t>7.4</t>
  </si>
  <si>
    <t>הכנת איטום פתחים לקליטת חלונות חדשים לאחר פירוק</t>
  </si>
  <si>
    <t>סה"כ איטום:</t>
  </si>
  <si>
    <t>פרק 8</t>
  </si>
  <si>
    <t>דלתות ומפתחים</t>
  </si>
  <si>
    <t>8.1</t>
  </si>
  <si>
    <t>התקנת משקופים עיוורים</t>
  </si>
  <si>
    <t>8.2</t>
  </si>
  <si>
    <t xml:space="preserve">אספקה והתקנה דלתות פנים MDF פתיחה כנף לצבע סטנדרט </t>
  </si>
  <si>
    <t xml:space="preserve">כולל משקופים. מפרט גדלי פתחים: </t>
  </si>
  <si>
    <t>8.3</t>
  </si>
  <si>
    <t xml:space="preserve">אספקה והתקנה דלתות פנים MDF הזזה כנף לצבע סטנדרט </t>
  </si>
  <si>
    <t>8.4</t>
  </si>
  <si>
    <t>אספקה והתקנת דלתות פלדלת חוץ סטנדרטיות כולל משקוף</t>
  </si>
  <si>
    <t>מפרט גדלי פתחים</t>
  </si>
  <si>
    <t>8.5</t>
  </si>
  <si>
    <t>קיצור דלתות קיימות בדירה עבור פרקט</t>
  </si>
  <si>
    <t xml:space="preserve">קיצור בתחתית הדלת בהתאם לדרישות הפרקט </t>
  </si>
  <si>
    <t>8.6</t>
  </si>
  <si>
    <t xml:space="preserve">קיצור דלת ממ"ד </t>
  </si>
  <si>
    <t>סה"כ דלתות :</t>
  </si>
  <si>
    <t>פרק 9</t>
  </si>
  <si>
    <t xml:space="preserve">מפתחים- אלומיניום/ברזל </t>
  </si>
  <si>
    <t>9.1</t>
  </si>
  <si>
    <t>9.2</t>
  </si>
  <si>
    <t xml:space="preserve">מסגרות אלומיניום/ברזל- לפי תוכנית </t>
  </si>
  <si>
    <t xml:space="preserve">קומפלט </t>
  </si>
  <si>
    <t>9.3</t>
  </si>
  <si>
    <t xml:space="preserve">סורג קבוע לחלונות </t>
  </si>
  <si>
    <t>לציין דגם + גוון</t>
  </si>
  <si>
    <t>9.4</t>
  </si>
  <si>
    <t>תיקוני חלונות/תריסים קיימים</t>
  </si>
  <si>
    <t>סה"כ אלומיניום/ברזל :</t>
  </si>
  <si>
    <t>פרק 10</t>
  </si>
  <si>
    <t>10.1</t>
  </si>
  <si>
    <t>איטום ותיקונים בהתאם לשבירות</t>
  </si>
  <si>
    <t>10.2</t>
  </si>
  <si>
    <t xml:space="preserve">יישום שליכט צבעוני </t>
  </si>
  <si>
    <t xml:space="preserve">כולל קילוף טיח קיים ויישום פריימר </t>
  </si>
  <si>
    <t>10.3</t>
  </si>
  <si>
    <t>חיבור לגז כולל ברז(מטבח חיצוני)</t>
  </si>
  <si>
    <t>סה"כ חוץ:</t>
  </si>
  <si>
    <t>פרק 11</t>
  </si>
  <si>
    <t xml:space="preserve">שונות </t>
  </si>
  <si>
    <t>תוספות נדרשות ע"י הלקוח</t>
  </si>
  <si>
    <t>כתב כמויות לשיפוץ דירה_ משפחת בן צור-אורן</t>
  </si>
  <si>
    <r>
      <t xml:space="preserve">כתובת : </t>
    </r>
    <r>
      <rPr>
        <sz val="12"/>
        <color theme="1"/>
        <rFont val="Arial"/>
        <family val="2"/>
      </rPr>
      <t>קצין 5, רעננה</t>
    </r>
  </si>
  <si>
    <r>
      <rPr>
        <b/>
        <sz val="12"/>
        <color theme="1"/>
        <rFont val="Arial"/>
        <family val="2"/>
      </rPr>
      <t>קומה</t>
    </r>
    <r>
      <rPr>
        <b/>
        <u/>
        <sz val="12"/>
        <color theme="1"/>
        <rFont val="Arial"/>
        <family val="2"/>
      </rPr>
      <t>:</t>
    </r>
    <r>
      <rPr>
        <b/>
        <sz val="12"/>
        <color theme="1"/>
        <rFont val="Arial"/>
        <family val="2"/>
      </rPr>
      <t xml:space="preserve">  3 </t>
    </r>
    <r>
      <rPr>
        <sz val="12"/>
        <color theme="1"/>
        <rFont val="Arial"/>
        <family val="2"/>
      </rPr>
      <t>(כרגע ללא מעלית)</t>
    </r>
  </si>
  <si>
    <r>
      <rPr>
        <b/>
        <sz val="12"/>
        <color theme="1"/>
        <rFont val="Arial"/>
        <family val="2"/>
      </rPr>
      <t>שטח- כ- 123 מ"</t>
    </r>
    <r>
      <rPr>
        <sz val="12"/>
        <color theme="1"/>
        <rFont val="Arial"/>
        <family val="2"/>
      </rPr>
      <t xml:space="preserve">ר + 7 מ"ר מרפסת (כולל ממ"ד ומרפסת שמש שנוספו במסגרת תמ"א) </t>
    </r>
  </si>
  <si>
    <r>
      <rPr>
        <b/>
        <sz val="12"/>
        <color theme="1"/>
        <rFont val="Arial"/>
        <family val="2"/>
      </rPr>
      <t xml:space="preserve">תיאור כללי- </t>
    </r>
    <r>
      <rPr>
        <sz val="12"/>
        <color theme="1"/>
        <rFont val="Arial"/>
        <family val="2"/>
      </rPr>
      <t>דירת 3.5 חדרים + ממ"ד, בבנין המצוי בשלב סיום תמ"א 38/1, כיוון דרום/מזרח/צפון, דירה חזיתית לרחוב קצין</t>
    </r>
  </si>
  <si>
    <t>ע"פ תוכנית הריסה.לרבות חגורות בטון אם קיימות בבניה, ניתוק וסילוק נק' מים וחשמל בקירות אלו</t>
  </si>
  <si>
    <t>כלול בהריסת הקירות</t>
  </si>
  <si>
    <t>אופציונלי- למקרה שייוחלט על פירוק הריצוף ולא הדבקת ריצוף חדש על הריצוף הקיים</t>
  </si>
  <si>
    <t>פירוק ופינוי ריצוף קיים</t>
  </si>
  <si>
    <t xml:space="preserve">פירוק אסלות קיימות עם כל אביזריהן </t>
  </si>
  <si>
    <t xml:space="preserve">פירוק משטח שיש במטבח בעומק עד 65 ס"מ </t>
  </si>
  <si>
    <t xml:space="preserve">כולל ארונות עליונים, תחתוניים, שיש, סניטציה </t>
  </si>
  <si>
    <t>קידוח פתח 5 צול בקיר חצוני להתקנת ונטה בח. אמבטיה הורים</t>
  </si>
  <si>
    <t>בניית קירות  ע"פ תוכנית בנייה כולל בידוד, ב-2 אופציות:</t>
  </si>
  <si>
    <t>2.1.1</t>
  </si>
  <si>
    <t>2.1.2</t>
  </si>
  <si>
    <t>ע"פ תוכנית בנייה. יש לתמחר בשתי אופציות-</t>
  </si>
  <si>
    <t xml:space="preserve">   בניה בגבס מתאים לפי איזורי הדירה, כולל בידוד (צמר סלעים/זכוכית)</t>
  </si>
  <si>
    <t xml:space="preserve"> </t>
  </si>
  <si>
    <t xml:space="preserve">2 ידיים לפחות </t>
  </si>
  <si>
    <t xml:space="preserve">נא לתמחר בנפרד, כאופציה, תוספת עלות החלקת קירות בשפכטל אמריקאי לכל הבית </t>
  </si>
  <si>
    <t>אספקת צבע, השליכט הצבעוני וכל הנדרש- באחריות הקבלן לפי דרישת הלקוח</t>
  </si>
  <si>
    <t>איטום חדרי רחצה- אמבטיה ושירותים לפני ריצוף: כולל בדיקת הצפה</t>
  </si>
  <si>
    <t>לפני תחילת העבודה יש לעבור עם המזמין  ולוודא מיקום סופי של אביזרים.</t>
  </si>
  <si>
    <t xml:space="preserve">גופי התאורה יסופקו ע"י המזמין </t>
  </si>
  <si>
    <t>ריצוף כללי בכל השטח הציבורי- גרניט פורצלן  80/80  או  100/100לרבות פנלים</t>
  </si>
  <si>
    <t>ריצוף  חדרי שינה/ילדים גרניט פורצלן   60/60 סוג ב' ללא פנלים</t>
  </si>
  <si>
    <t xml:space="preserve">ריצוף שירותים וחדרי אמבטיה גרניט פורצלן  אנטי סליפ  60/60 או 120/60 </t>
  </si>
  <si>
    <t xml:space="preserve">יש לתתת מחיר אינדקטיבי לצביעה מ"ר בשליכט פיגמנטי אקרילי בגימור עדין </t>
  </si>
  <si>
    <t xml:space="preserve">העתקת ארון חשמל </t>
  </si>
  <si>
    <t>החלפת תשתית החשמל בכל הדירה (למעט ממ"ד ומרפסת)</t>
  </si>
  <si>
    <t>חיפוי קיר מקלחת ילדים- אריחים 30/90 או 120/60</t>
  </si>
  <si>
    <t xml:space="preserve">נקודת כוח קו נפרד מטבח- תנור, מיקרו, מקרר, מדיח, </t>
  </si>
  <si>
    <t>נקודת כוח קו נפרד למייבש,מכונת כביסה</t>
  </si>
  <si>
    <t>נקודת כוח מכשירים מטבח - שקע כפול</t>
  </si>
  <si>
    <t>נקודת סימה בוקס 4 שקעים (טלוויזיה+טלפון+מחשב)</t>
  </si>
  <si>
    <t>3.65</t>
  </si>
  <si>
    <t>קודת סימה בוקס 6 שקעים (טלוויזיה+טלפון+מחשב)</t>
  </si>
  <si>
    <t>נק' צינור השחלה (קוברה) בין מכשירים</t>
  </si>
  <si>
    <t xml:space="preserve">הגדלת שקע מיזוג לתלת / יחיד לזוג </t>
  </si>
  <si>
    <t>נק' תקשורת אינטרנט</t>
  </si>
  <si>
    <t>4.65</t>
  </si>
  <si>
    <t>נקודה + מערכת קיר מיני 3 דרך לשטיפה ליד אסלה</t>
  </si>
  <si>
    <r>
      <t>נק' מים לכיור רחצה - חמים קרים-</t>
    </r>
    <r>
      <rPr>
        <sz val="12"/>
        <color rgb="FFFF0000"/>
        <rFont val="Arial"/>
        <family val="2"/>
      </rPr>
      <t xml:space="preserve"> ברז מהקיר</t>
    </r>
    <r>
      <rPr>
        <sz val="12"/>
        <color theme="1"/>
        <rFont val="Arial"/>
        <family val="2"/>
      </rPr>
      <t xml:space="preserve"> </t>
    </r>
  </si>
  <si>
    <r>
      <t xml:space="preserve">נק' מים לכיור רחצה - חמים קרים- </t>
    </r>
    <r>
      <rPr>
        <sz val="12"/>
        <color rgb="FFFF0000"/>
        <rFont val="Arial"/>
        <family val="2"/>
      </rPr>
      <t>ברז מהקיר</t>
    </r>
    <r>
      <rPr>
        <sz val="12"/>
        <rFont val="Arial"/>
        <family val="2"/>
      </rPr>
      <t xml:space="preserve"> </t>
    </r>
  </si>
  <si>
    <t>תיקוני טיח סביב דלתות חלונות עפי הנדרש</t>
  </si>
  <si>
    <t>כל הברזים הינם מסוג ברזי פרח (אלא אם כן מצויין ברז קיר) מים חמים/קרים</t>
  </si>
  <si>
    <t>החלפת כל צנרת הניקוזים/ביובים בצנרת חדשה לפי התכנית וחיבורה למערכות הבניין</t>
  </si>
  <si>
    <t>התקנת פנלים (שקועים- בקו 0 )</t>
  </si>
  <si>
    <t xml:space="preserve">חיפוי קיר מטבח- אריחים 120/60  </t>
  </si>
  <si>
    <t xml:space="preserve">חדר רחצה ילדים </t>
  </si>
  <si>
    <t>שפכטל אמריקאי</t>
  </si>
  <si>
    <t>למ״ר</t>
  </si>
  <si>
    <t>שליכט צבעוני</t>
  </si>
  <si>
    <t>שני ידיים</t>
  </si>
  <si>
    <t>שורת בלוקים</t>
  </si>
  <si>
    <t>מ״א</t>
  </si>
  <si>
    <t>ביטון ואיטום הוצאת חול והכנסתו לפני ריצוף אין צורך בהחלפת סומסום יש רק להוסיף חול</t>
  </si>
  <si>
    <t xml:space="preserve">באחריות הקבלן פיקוח על כל העבודות הנעשות באתר, כולל תיאומים בין בעלי המקצוע. </t>
  </si>
  <si>
    <t>לא ברור</t>
  </si>
  <si>
    <t>אופציונלי</t>
  </si>
  <si>
    <t>לדבר על תמחור שקעים כפולים</t>
  </si>
  <si>
    <t>????</t>
  </si>
  <si>
    <t>לתת מחיר אופציונלי לברז פרח</t>
  </si>
  <si>
    <r>
      <t>מועד מיועד לתחילת השיפוץ:</t>
    </r>
    <r>
      <rPr>
        <sz val="12"/>
        <color theme="1"/>
        <rFont val="Arial"/>
        <family val="2"/>
      </rPr>
      <t xml:space="preserve"> </t>
    </r>
    <r>
      <rPr>
        <sz val="12"/>
        <color rgb="FFFF0000"/>
        <rFont val="Arial"/>
        <family val="2"/>
      </rPr>
      <t>מרץ 2026</t>
    </r>
  </si>
  <si>
    <t>?????</t>
  </si>
  <si>
    <t>להסביר (מה נכלל בפירוק בפרק הפירוק)</t>
  </si>
  <si>
    <r>
      <t xml:space="preserve">חיפוי קיר מקלחת הורים- </t>
    </r>
    <r>
      <rPr>
        <sz val="12"/>
        <color rgb="FFFF0000"/>
        <rFont val="Arial"/>
        <family val="2"/>
      </rPr>
      <t>אריחים</t>
    </r>
    <r>
      <rPr>
        <sz val="12"/>
        <color theme="1"/>
        <rFont val="Arial"/>
        <family val="2"/>
      </rPr>
      <t xml:space="preserve"> 90/30 או 120/60</t>
    </r>
  </si>
  <si>
    <t xml:space="preserve">בניית דופן אמבטיה (160/70) מבלוק חלול עובי 7  גובה 42 + התקנת אמבטיה  </t>
  </si>
  <si>
    <t>200 לנקודה</t>
  </si>
  <si>
    <r>
      <t xml:space="preserve">סה"כ כללי </t>
    </r>
    <r>
      <rPr>
        <b/>
        <sz val="12"/>
        <color rgb="FFFF0000"/>
        <rFont val="Arial"/>
        <family val="2"/>
      </rPr>
      <t>(לפני הנחה)</t>
    </r>
  </si>
  <si>
    <t>ההנחה בשיעור 7.8% תחול על על מחירי כל הפריטים הכלולים בהצעת המחיר.</t>
  </si>
  <si>
    <t xml:space="preserve"> מובהר כי הסה"כ  בגליון זה  ובסיכום כל גליון בנפרד, כולל פריטים  אשר מוגדרים בגליונות  כאופציונליים </t>
  </si>
  <si>
    <t>סה"כ  אחרי הנחה ולפני מע"מ</t>
  </si>
  <si>
    <t>כל המחירים לעיל הינם לפני הנחה בשיעור 7.8%</t>
  </si>
  <si>
    <t xml:space="preserve">באחריות הקבלן מסירת דירה נקייה עם סיום הפרויקט משאריות בניה ( לא כולל נקיון יסוד- שאינו כלול במחיר) וביצוע תיקונים נדרשים בתום הפרויקט. </t>
  </si>
  <si>
    <t>מחיר הכנה להתקנת ספוטים בתקרת גבס (ליחידה)</t>
  </si>
  <si>
    <t xml:space="preserve">לא תומחרו התקנות גופי תאורה </t>
  </si>
  <si>
    <t xml:space="preserve">כל הצינורות והמחברים יהיו מסוג pax + חנוכיה וברזים בחנוכיה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</si>
</sst>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₪&quot;#,##0"/>
    <numFmt numFmtId="165" formatCode="&quot;₪&quot;\ #,##0"/>
    <numFmt numFmtId="166" formatCode="0.0%"/>
  </numFmts>
  <fonts count="20" x14ac:knownFonts="1">
    <font>
      <sz val="10"/>
      <color rgb="FF000000"/>
      <name val="Calibri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u/>
      <sz val="20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b/>
      <u/>
      <sz val="20"/>
      <color theme="1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000000"/>
      <name val="Calibri"/>
      <scheme val="minor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B9B9"/>
        <bgColor rgb="FFFFB9B9"/>
      </patternFill>
    </fill>
    <fill>
      <patternFill patternType="solid">
        <fgColor rgb="FFF2F2F2"/>
        <bgColor rgb="FFF2F2F2"/>
      </patternFill>
    </fill>
    <fill>
      <patternFill patternType="solid">
        <fgColor rgb="FFDDD9C3"/>
        <bgColor rgb="FFDDD9C3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medium">
        <color rgb="FFE36C09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E36C09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E36C09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horizontal="center" vertical="center"/>
    </xf>
    <xf numFmtId="165" fontId="8" fillId="3" borderId="9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3" fontId="1" fillId="3" borderId="9" xfId="0" applyNumberFormat="1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8" fillId="3" borderId="13" xfId="0" applyFont="1" applyFill="1" applyBorder="1" applyAlignment="1">
      <alignment vertical="center"/>
    </xf>
    <xf numFmtId="164" fontId="1" fillId="3" borderId="13" xfId="0" applyNumberFormat="1" applyFont="1" applyFill="1" applyBorder="1" applyAlignment="1">
      <alignment horizontal="center" vertical="center"/>
    </xf>
    <xf numFmtId="3" fontId="1" fillId="3" borderId="1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7" fillId="0" borderId="0" xfId="0" applyFont="1" applyAlignment="1">
      <alignment horizontal="right" vertical="center" readingOrder="2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center" vertical="center" readingOrder="2"/>
    </xf>
    <xf numFmtId="0" fontId="8" fillId="4" borderId="17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vertical="center"/>
    </xf>
    <xf numFmtId="0" fontId="8" fillId="5" borderId="22" xfId="0" applyFont="1" applyFill="1" applyBorder="1" applyAlignment="1">
      <alignment vertical="center"/>
    </xf>
    <xf numFmtId="0" fontId="8" fillId="5" borderId="23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vertical="center"/>
    </xf>
    <xf numFmtId="0" fontId="1" fillId="0" borderId="24" xfId="0" applyFont="1" applyBorder="1" applyAlignment="1">
      <alignment vertical="center" wrapText="1"/>
    </xf>
    <xf numFmtId="0" fontId="1" fillId="0" borderId="24" xfId="0" applyFont="1" applyBorder="1" applyAlignment="1">
      <alignment vertical="center"/>
    </xf>
    <xf numFmtId="0" fontId="8" fillId="6" borderId="25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vertical="center"/>
    </xf>
    <xf numFmtId="165" fontId="8" fillId="6" borderId="26" xfId="0" applyNumberFormat="1" applyFont="1" applyFill="1" applyBorder="1" applyAlignment="1">
      <alignment vertical="center"/>
    </xf>
    <xf numFmtId="0" fontId="8" fillId="6" borderId="27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4" xfId="0" applyFont="1" applyBorder="1" applyAlignment="1">
      <alignment horizontal="right"/>
    </xf>
    <xf numFmtId="0" fontId="1" fillId="0" borderId="24" xfId="0" applyFont="1" applyBorder="1" applyAlignment="1">
      <alignment horizontal="right" vertical="center"/>
    </xf>
    <xf numFmtId="49" fontId="1" fillId="7" borderId="29" xfId="0" applyNumberFormat="1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vertical="center"/>
    </xf>
    <xf numFmtId="0" fontId="1" fillId="7" borderId="30" xfId="0" applyFont="1" applyFill="1" applyBorder="1" applyAlignment="1">
      <alignment vertical="center"/>
    </xf>
    <xf numFmtId="165" fontId="8" fillId="7" borderId="30" xfId="0" applyNumberFormat="1" applyFont="1" applyFill="1" applyBorder="1" applyAlignment="1">
      <alignment vertical="center"/>
    </xf>
    <xf numFmtId="0" fontId="1" fillId="7" borderId="31" xfId="0" applyFont="1" applyFill="1" applyBorder="1" applyAlignment="1">
      <alignment vertical="center"/>
    </xf>
    <xf numFmtId="0" fontId="1" fillId="0" borderId="32" xfId="0" applyFont="1" applyBorder="1" applyAlignment="1">
      <alignment vertical="center"/>
    </xf>
    <xf numFmtId="49" fontId="1" fillId="0" borderId="33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vertical="center" wrapText="1"/>
    </xf>
    <xf numFmtId="0" fontId="1" fillId="0" borderId="34" xfId="0" applyFont="1" applyBorder="1" applyAlignment="1">
      <alignment vertical="center"/>
    </xf>
    <xf numFmtId="165" fontId="1" fillId="0" borderId="34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vertical="center" wrapText="1"/>
    </xf>
    <xf numFmtId="0" fontId="8" fillId="6" borderId="36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vertical="center"/>
    </xf>
    <xf numFmtId="0" fontId="8" fillId="6" borderId="11" xfId="0" applyFont="1" applyFill="1" applyBorder="1" applyAlignment="1">
      <alignment vertical="center"/>
    </xf>
    <xf numFmtId="49" fontId="1" fillId="7" borderId="29" xfId="0" applyNumberFormat="1" applyFont="1" applyFill="1" applyBorder="1" applyAlignment="1">
      <alignment horizontal="right" vertical="center"/>
    </xf>
    <xf numFmtId="49" fontId="1" fillId="7" borderId="30" xfId="0" applyNumberFormat="1" applyFont="1" applyFill="1" applyBorder="1" applyAlignment="1">
      <alignment horizontal="right" vertical="center"/>
    </xf>
    <xf numFmtId="49" fontId="1" fillId="7" borderId="3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49" fontId="1" fillId="8" borderId="26" xfId="0" applyNumberFormat="1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vertical="center"/>
    </xf>
    <xf numFmtId="165" fontId="1" fillId="8" borderId="26" xfId="0" applyNumberFormat="1" applyFont="1" applyFill="1" applyBorder="1" applyAlignment="1">
      <alignment vertical="center"/>
    </xf>
    <xf numFmtId="0" fontId="8" fillId="8" borderId="26" xfId="0" applyFont="1" applyFill="1" applyBorder="1" applyAlignment="1">
      <alignment vertical="center"/>
    </xf>
    <xf numFmtId="165" fontId="8" fillId="8" borderId="26" xfId="0" applyNumberFormat="1" applyFont="1" applyFill="1" applyBorder="1" applyAlignment="1">
      <alignment vertical="center"/>
    </xf>
    <xf numFmtId="0" fontId="1" fillId="8" borderId="26" xfId="0" applyFont="1" applyFill="1" applyBorder="1" applyAlignment="1">
      <alignment horizontal="right" vertical="center"/>
    </xf>
    <xf numFmtId="165" fontId="1" fillId="0" borderId="34" xfId="0" applyNumberFormat="1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9" fillId="8" borderId="26" xfId="0" applyFont="1" applyFill="1" applyBorder="1" applyAlignment="1">
      <alignment vertical="center" wrapText="1"/>
    </xf>
    <xf numFmtId="0" fontId="1" fillId="8" borderId="26" xfId="0" applyFont="1" applyFill="1" applyBorder="1" applyAlignment="1">
      <alignment vertical="center" wrapText="1"/>
    </xf>
    <xf numFmtId="165" fontId="1" fillId="8" borderId="26" xfId="0" applyNumberFormat="1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vertical="center"/>
    </xf>
    <xf numFmtId="0" fontId="1" fillId="8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2" fillId="0" borderId="2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24" xfId="0" applyFont="1" applyBorder="1" applyAlignment="1">
      <alignment vertical="center"/>
    </xf>
    <xf numFmtId="49" fontId="1" fillId="0" borderId="3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vertical="center" wrapText="1"/>
    </xf>
    <xf numFmtId="0" fontId="1" fillId="0" borderId="40" xfId="0" applyFont="1" applyBorder="1" applyAlignment="1">
      <alignment vertical="center"/>
    </xf>
    <xf numFmtId="165" fontId="1" fillId="0" borderId="40" xfId="0" applyNumberFormat="1" applyFont="1" applyBorder="1" applyAlignment="1">
      <alignment horizontal="center" vertical="center"/>
    </xf>
    <xf numFmtId="165" fontId="1" fillId="0" borderId="40" xfId="0" applyNumberFormat="1" applyFont="1" applyBorder="1" applyAlignment="1">
      <alignment vertical="center"/>
    </xf>
    <xf numFmtId="0" fontId="1" fillId="0" borderId="41" xfId="0" applyFont="1" applyBorder="1" applyAlignment="1">
      <alignment vertical="center" wrapText="1"/>
    </xf>
    <xf numFmtId="0" fontId="8" fillId="4" borderId="19" xfId="0" applyFont="1" applyFill="1" applyBorder="1" applyAlignment="1">
      <alignment vertical="center" wrapText="1"/>
    </xf>
    <xf numFmtId="0" fontId="8" fillId="5" borderId="23" xfId="0" applyFont="1" applyFill="1" applyBorder="1" applyAlignment="1">
      <alignment vertical="center" wrapText="1"/>
    </xf>
    <xf numFmtId="0" fontId="1" fillId="7" borderId="31" xfId="0" applyFont="1" applyFill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0" fillId="0" borderId="0" xfId="0" applyAlignment="1">
      <alignment wrapText="1"/>
    </xf>
    <xf numFmtId="49" fontId="12" fillId="0" borderId="4" xfId="0" applyNumberFormat="1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left" vertical="center"/>
    </xf>
    <xf numFmtId="0" fontId="12" fillId="8" borderId="26" xfId="0" applyFont="1" applyFill="1" applyBorder="1" applyAlignment="1">
      <alignment vertical="center"/>
    </xf>
    <xf numFmtId="0" fontId="12" fillId="8" borderId="5" xfId="0" applyFont="1" applyFill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" fillId="9" borderId="5" xfId="0" applyFont="1" applyFill="1" applyBorder="1" applyAlignment="1">
      <alignment vertical="center" wrapText="1"/>
    </xf>
    <xf numFmtId="0" fontId="1" fillId="9" borderId="5" xfId="0" applyFont="1" applyFill="1" applyBorder="1" applyAlignment="1">
      <alignment vertical="center"/>
    </xf>
    <xf numFmtId="165" fontId="1" fillId="9" borderId="5" xfId="0" applyNumberFormat="1" applyFont="1" applyFill="1" applyBorder="1" applyAlignment="1">
      <alignment vertical="center"/>
    </xf>
    <xf numFmtId="0" fontId="15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/>
    </xf>
    <xf numFmtId="0" fontId="12" fillId="9" borderId="5" xfId="0" applyFont="1" applyFill="1" applyBorder="1" applyAlignment="1">
      <alignment vertical="center" wrapText="1"/>
    </xf>
    <xf numFmtId="165" fontId="1" fillId="9" borderId="5" xfId="0" applyNumberFormat="1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vertical="center" wrapText="1"/>
    </xf>
    <xf numFmtId="0" fontId="1" fillId="0" borderId="4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horizontal="right" vertical="center" wrapText="1"/>
    </xf>
    <xf numFmtId="0" fontId="18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24" xfId="0" applyFont="1" applyBorder="1" applyAlignment="1">
      <alignment vertical="center" wrapText="1"/>
    </xf>
    <xf numFmtId="0" fontId="19" fillId="0" borderId="24" xfId="0" applyFont="1" applyBorder="1" applyAlignment="1">
      <alignment vertical="center"/>
    </xf>
    <xf numFmtId="165" fontId="19" fillId="3" borderId="9" xfId="0" applyNumberFormat="1" applyFont="1" applyFill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2" fillId="10" borderId="0" xfId="0" applyFont="1" applyFill="1"/>
    <xf numFmtId="0" fontId="1" fillId="10" borderId="0" xfId="0" applyFont="1" applyFill="1"/>
    <xf numFmtId="166" fontId="1" fillId="3" borderId="5" xfId="1" applyNumberFormat="1" applyFont="1" applyFill="1" applyBorder="1" applyAlignment="1">
      <alignment horizontal="center" vertical="center"/>
    </xf>
    <xf numFmtId="0" fontId="1" fillId="10" borderId="0" xfId="0" applyFont="1" applyFill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rightToLeft="1" topLeftCell="A28" workbookViewId="0">
      <selection activeCell="C30" sqref="C30"/>
    </sheetView>
  </sheetViews>
  <sheetFormatPr defaultColWidth="14.3984375" defaultRowHeight="15" customHeight="1" x14ac:dyDescent="0.3"/>
  <cols>
    <col min="1" max="1" width="1.59765625" customWidth="1"/>
    <col min="2" max="2" width="4.59765625" customWidth="1"/>
    <col min="3" max="3" width="33.19921875" customWidth="1"/>
    <col min="4" max="4" width="16" customWidth="1"/>
    <col min="5" max="5" width="69.09765625" bestFit="1" customWidth="1"/>
    <col min="6" max="6" width="9" customWidth="1"/>
    <col min="7" max="7" width="52" customWidth="1"/>
    <col min="8" max="8" width="13" customWidth="1"/>
    <col min="9" max="26" width="9" customWidth="1"/>
  </cols>
  <sheetData>
    <row r="1" spans="1:26" ht="17.25" customHeight="1" x14ac:dyDescent="0.35">
      <c r="A1" s="2"/>
      <c r="B1" s="3"/>
      <c r="C1" s="122" t="s">
        <v>378</v>
      </c>
      <c r="D1" s="123"/>
      <c r="E1" s="123"/>
      <c r="F1" s="123"/>
      <c r="G1" s="123"/>
      <c r="H1" s="4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 x14ac:dyDescent="0.35">
      <c r="A2" s="2"/>
      <c r="B2" s="3"/>
      <c r="C2" s="91"/>
      <c r="H2" s="4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 x14ac:dyDescent="0.35">
      <c r="A3" s="2"/>
      <c r="B3" s="3"/>
      <c r="C3" s="93" t="s">
        <v>379</v>
      </c>
      <c r="D3" s="3"/>
      <c r="E3" s="3"/>
      <c r="F3" s="3"/>
      <c r="G3" s="5" t="s">
        <v>442</v>
      </c>
      <c r="H3" s="4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 x14ac:dyDescent="0.35">
      <c r="A4" s="2"/>
      <c r="B4" s="3"/>
      <c r="C4" s="92" t="s">
        <v>380</v>
      </c>
      <c r="D4" s="3"/>
      <c r="E4" s="3"/>
      <c r="F4" s="3"/>
      <c r="G4" s="5"/>
      <c r="H4" s="4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customHeight="1" x14ac:dyDescent="0.35">
      <c r="A5" s="2"/>
      <c r="B5" s="3"/>
      <c r="C5" s="93" t="s">
        <v>381</v>
      </c>
      <c r="D5" s="3"/>
      <c r="E5" s="3"/>
      <c r="F5" s="3"/>
      <c r="G5" s="5"/>
      <c r="H5" s="4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customHeight="1" x14ac:dyDescent="0.35">
      <c r="A6" s="2"/>
      <c r="B6" s="3"/>
      <c r="C6" s="93" t="s">
        <v>382</v>
      </c>
      <c r="D6" s="3"/>
      <c r="E6" s="3"/>
      <c r="F6" s="3"/>
      <c r="G6" s="5"/>
      <c r="H6" s="4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 x14ac:dyDescent="0.35">
      <c r="A7" s="2"/>
      <c r="B7" s="3"/>
      <c r="C7" s="5"/>
      <c r="D7" s="3"/>
      <c r="E7" s="3"/>
      <c r="F7" s="3"/>
      <c r="G7" s="5"/>
      <c r="H7" s="4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 x14ac:dyDescent="0.35">
      <c r="A8" s="2"/>
      <c r="B8" s="3"/>
      <c r="C8" s="5"/>
      <c r="D8" s="3"/>
      <c r="E8" s="3"/>
      <c r="F8" s="3"/>
      <c r="G8" s="5"/>
      <c r="H8" s="4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 x14ac:dyDescent="0.35">
      <c r="A9" s="2"/>
      <c r="B9" s="3"/>
      <c r="C9" s="2"/>
      <c r="D9" s="3"/>
      <c r="E9" s="6"/>
      <c r="F9" s="6"/>
      <c r="G9" s="3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25" customHeight="1" x14ac:dyDescent="0.35">
      <c r="A10" s="2"/>
      <c r="B10" s="7" t="s">
        <v>0</v>
      </c>
      <c r="C10" s="2"/>
      <c r="D10" s="3"/>
      <c r="E10" s="6"/>
      <c r="F10" s="6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.25" customHeight="1" x14ac:dyDescent="0.35">
      <c r="A11" s="2"/>
      <c r="B11" s="7" t="s">
        <v>1</v>
      </c>
      <c r="C11" s="2"/>
      <c r="D11" s="3"/>
      <c r="E11" s="6"/>
      <c r="F11" s="6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.25" customHeight="1" x14ac:dyDescent="0.35">
      <c r="A12" s="2"/>
      <c r="B12" s="7" t="s">
        <v>2</v>
      </c>
      <c r="C12" s="2"/>
      <c r="D12" s="3"/>
      <c r="E12" s="6"/>
      <c r="F12" s="6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25" customHeight="1" x14ac:dyDescent="0.35">
      <c r="A14" s="2"/>
      <c r="B14" s="8"/>
      <c r="C14" s="9" t="s">
        <v>3</v>
      </c>
      <c r="D14" s="9" t="s">
        <v>4</v>
      </c>
      <c r="E14" s="9" t="s">
        <v>5</v>
      </c>
      <c r="F14" s="9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25" customHeight="1" x14ac:dyDescent="0.35">
      <c r="A15" s="2"/>
      <c r="B15" s="11">
        <v>1</v>
      </c>
      <c r="C15" s="12" t="s">
        <v>6</v>
      </c>
      <c r="D15" s="13">
        <f>'הריסה '!F39</f>
        <v>49450</v>
      </c>
      <c r="E15" s="14"/>
      <c r="F15" s="15"/>
      <c r="G15" s="1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customHeight="1" x14ac:dyDescent="0.35">
      <c r="A16" s="2"/>
      <c r="B16" s="11">
        <v>2</v>
      </c>
      <c r="C16" s="12" t="s">
        <v>7</v>
      </c>
      <c r="D16" s="13">
        <f>בניה!F16</f>
        <v>47100</v>
      </c>
      <c r="E16" s="14"/>
      <c r="F16" s="15">
        <v>0</v>
      </c>
      <c r="G16" s="1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 x14ac:dyDescent="0.35">
      <c r="A17" s="2"/>
      <c r="B17" s="11">
        <v>3</v>
      </c>
      <c r="C17" s="12" t="s">
        <v>8</v>
      </c>
      <c r="D17" s="13">
        <f>'חשמל ותקשורת '!F36</f>
        <v>34860</v>
      </c>
      <c r="E17" s="14"/>
      <c r="F17" s="15"/>
      <c r="G17" s="1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25" customHeight="1" x14ac:dyDescent="0.35">
      <c r="A18" s="2"/>
      <c r="B18" s="11">
        <v>4</v>
      </c>
      <c r="C18" s="12" t="s">
        <v>9</v>
      </c>
      <c r="D18" s="13">
        <f>אינסטלציה!F36</f>
        <v>40300</v>
      </c>
      <c r="E18" s="2"/>
      <c r="F18" s="15"/>
      <c r="G18" s="1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25" customHeight="1" x14ac:dyDescent="0.35">
      <c r="A19" s="2"/>
      <c r="B19" s="11">
        <v>5</v>
      </c>
      <c r="C19" s="12" t="s">
        <v>10</v>
      </c>
      <c r="D19" s="13">
        <f>'חיפוי וריצוף'!F31</f>
        <v>52040</v>
      </c>
      <c r="E19" s="14"/>
      <c r="F19" s="15"/>
      <c r="G19" s="1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35">
      <c r="A20" s="2"/>
      <c r="B20" s="11">
        <v>6</v>
      </c>
      <c r="C20" s="12" t="s">
        <v>11</v>
      </c>
      <c r="D20" s="13">
        <f>'טיח צבע ושפכטל'!F15</f>
        <v>24500</v>
      </c>
      <c r="E20" s="14"/>
      <c r="F20" s="15"/>
      <c r="G20" s="1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25" customHeight="1" x14ac:dyDescent="0.35">
      <c r="A21" s="2"/>
      <c r="B21" s="11">
        <v>7</v>
      </c>
      <c r="C21" s="12" t="s">
        <v>12</v>
      </c>
      <c r="D21" s="13">
        <v>6000</v>
      </c>
      <c r="E21" s="14"/>
      <c r="F21" s="15"/>
      <c r="G21" s="1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.25" customHeight="1" x14ac:dyDescent="0.35">
      <c r="A22" s="2"/>
      <c r="B22" s="11">
        <v>8</v>
      </c>
      <c r="C22" s="12" t="s">
        <v>13</v>
      </c>
      <c r="D22" s="13">
        <f>'דלתות וחלונות'!F9</f>
        <v>0</v>
      </c>
      <c r="E22" s="14"/>
      <c r="F22" s="15"/>
      <c r="G22" s="1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25" customHeight="1" x14ac:dyDescent="0.35">
      <c r="A23" s="2"/>
      <c r="B23" s="11">
        <v>9</v>
      </c>
      <c r="C23" s="12" t="s">
        <v>14</v>
      </c>
      <c r="D23" s="13">
        <f>'דלתות וחלונות'!F19</f>
        <v>0</v>
      </c>
      <c r="E23" s="14"/>
      <c r="F23" s="15"/>
      <c r="G23" s="1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25" customHeight="1" x14ac:dyDescent="0.35">
      <c r="A24" s="2"/>
      <c r="B24" s="11">
        <v>10</v>
      </c>
      <c r="C24" s="12" t="s">
        <v>15</v>
      </c>
      <c r="D24" s="13">
        <f>'חוץ ושונות'!F6</f>
        <v>0</v>
      </c>
      <c r="E24" s="14"/>
      <c r="F24" s="15"/>
      <c r="G24" s="1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25" customHeight="1" x14ac:dyDescent="0.35">
      <c r="A25" s="2"/>
      <c r="B25" s="11">
        <v>11</v>
      </c>
      <c r="C25" s="12" t="s">
        <v>16</v>
      </c>
      <c r="D25" s="13">
        <f>'חוץ ושונות'!F15</f>
        <v>0</v>
      </c>
      <c r="E25" s="14"/>
      <c r="F25" s="15"/>
      <c r="G25" s="12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25" customHeight="1" x14ac:dyDescent="0.35">
      <c r="A26" s="2"/>
      <c r="B26" s="17"/>
      <c r="C26" s="18" t="s">
        <v>448</v>
      </c>
      <c r="D26" s="19">
        <f>SUM(D15:D25)</f>
        <v>254250</v>
      </c>
      <c r="E26" s="130" t="s">
        <v>450</v>
      </c>
      <c r="F26" s="21"/>
      <c r="G26" s="2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35">
      <c r="A27" s="2"/>
      <c r="B27" s="17"/>
      <c r="C27" s="18" t="s">
        <v>17</v>
      </c>
      <c r="D27" s="19">
        <f>D26*1.17</f>
        <v>297472.5</v>
      </c>
      <c r="E27" s="20"/>
      <c r="F27" s="21"/>
      <c r="G27" s="2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35">
      <c r="A28" s="2"/>
      <c r="B28" s="17"/>
      <c r="C28" s="18" t="s">
        <v>18</v>
      </c>
      <c r="D28" s="134">
        <v>7.7799999999999994E-2</v>
      </c>
      <c r="E28" s="23" t="s">
        <v>449</v>
      </c>
      <c r="F28" s="21"/>
      <c r="G28" s="2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35">
      <c r="A29" s="2"/>
      <c r="B29" s="24"/>
      <c r="C29" s="25" t="s">
        <v>451</v>
      </c>
      <c r="D29" s="26">
        <v>236000</v>
      </c>
      <c r="E29" s="27"/>
      <c r="F29" s="28"/>
      <c r="G29" s="2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35">
      <c r="A31" s="2"/>
      <c r="B31" s="1" t="s">
        <v>436</v>
      </c>
      <c r="C31" s="30"/>
      <c r="D31" s="31"/>
      <c r="E31" s="31"/>
      <c r="F31" s="31"/>
      <c r="G31" s="31"/>
      <c r="H31" s="3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35">
      <c r="A32" s="2"/>
      <c r="B32" s="1" t="s">
        <v>19</v>
      </c>
      <c r="C32" s="32"/>
      <c r="D32" s="31"/>
      <c r="E32" s="31"/>
      <c r="F32" s="31"/>
      <c r="G32" s="31"/>
      <c r="H32" s="3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 x14ac:dyDescent="0.35">
      <c r="A33" s="2"/>
      <c r="B33" s="1" t="s">
        <v>20</v>
      </c>
      <c r="C33" s="33"/>
      <c r="D33" s="31"/>
      <c r="E33" s="31"/>
      <c r="F33" s="31"/>
      <c r="G33" s="31"/>
      <c r="H33" s="3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35">
      <c r="A34" s="2"/>
      <c r="B34" s="1" t="s">
        <v>21</v>
      </c>
      <c r="C34" s="33"/>
      <c r="D34" s="31"/>
      <c r="E34" s="31"/>
      <c r="F34" s="31"/>
      <c r="G34" s="31"/>
      <c r="H34" s="3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customHeight="1" x14ac:dyDescent="0.35">
      <c r="A35" s="2"/>
      <c r="B35" s="1" t="s">
        <v>22</v>
      </c>
      <c r="C35" s="33"/>
      <c r="D35" s="31"/>
      <c r="E35" s="31"/>
      <c r="F35" s="31"/>
      <c r="G35" s="31"/>
      <c r="H35" s="3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customHeight="1" x14ac:dyDescent="0.35">
      <c r="A36" s="2"/>
      <c r="B36" s="1" t="s">
        <v>23</v>
      </c>
      <c r="C36" s="33"/>
      <c r="D36" s="31"/>
      <c r="E36" s="31"/>
      <c r="F36" s="31"/>
      <c r="G36" s="31"/>
      <c r="H36" s="3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customHeight="1" x14ac:dyDescent="0.35">
      <c r="A37" s="2"/>
      <c r="B37" s="133" t="s">
        <v>453</v>
      </c>
      <c r="C37" s="132"/>
      <c r="D37" s="132"/>
      <c r="E37" s="132"/>
      <c r="F37" s="132"/>
      <c r="G37" s="13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customHeight="1" x14ac:dyDescent="0.35">
      <c r="A38" s="2"/>
      <c r="B38" s="1" t="s">
        <v>24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7.25" customHeight="1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7.25" customHeight="1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7.25" customHeight="1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">
    <mergeCell ref="C1:G1"/>
  </mergeCells>
  <pageMargins left="0.51181102362204722" right="0.51181102362204722" top="0.35433070866141736" bottom="0.35433070866141736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rightToLeft="1" topLeftCell="A40" workbookViewId="0">
      <selection activeCell="F30" sqref="F30:F34"/>
    </sheetView>
  </sheetViews>
  <sheetFormatPr defaultColWidth="14.3984375" defaultRowHeight="15" customHeight="1" x14ac:dyDescent="0.3"/>
  <cols>
    <col min="1" max="1" width="6.8984375" customWidth="1"/>
    <col min="2" max="2" width="58.3984375" bestFit="1" customWidth="1"/>
    <col min="3" max="3" width="8" customWidth="1"/>
    <col min="4" max="4" width="7.3984375" customWidth="1"/>
    <col min="5" max="5" width="9.59765625" customWidth="1"/>
    <col min="6" max="6" width="11.3984375" bestFit="1" customWidth="1"/>
    <col min="7" max="7" width="45.59765625" customWidth="1"/>
    <col min="8" max="8" width="10" bestFit="1" customWidth="1"/>
    <col min="9" max="26" width="9" customWidth="1"/>
  </cols>
  <sheetData>
    <row r="1" spans="1:26" ht="16.5" customHeight="1" x14ac:dyDescent="0.3">
      <c r="A1" s="34" t="s">
        <v>25</v>
      </c>
      <c r="B1" s="35" t="s">
        <v>26</v>
      </c>
      <c r="C1" s="35"/>
      <c r="D1" s="35"/>
      <c r="E1" s="35"/>
      <c r="F1" s="35"/>
      <c r="G1" s="36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" customHeight="1" x14ac:dyDescent="0.3">
      <c r="A2" s="38" t="s">
        <v>27</v>
      </c>
      <c r="B2" s="39" t="s">
        <v>28</v>
      </c>
      <c r="C2" s="39" t="s">
        <v>29</v>
      </c>
      <c r="D2" s="39" t="s">
        <v>30</v>
      </c>
      <c r="E2" s="39" t="s">
        <v>31</v>
      </c>
      <c r="F2" s="40" t="s">
        <v>32</v>
      </c>
      <c r="G2" s="41" t="s">
        <v>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" customHeight="1" x14ac:dyDescent="0.3">
      <c r="A3" s="42"/>
      <c r="B3" s="43" t="s">
        <v>33</v>
      </c>
      <c r="C3" s="43"/>
      <c r="D3" s="43"/>
      <c r="E3" s="43"/>
      <c r="F3" s="43"/>
      <c r="G3" s="44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46.5" x14ac:dyDescent="0.3">
      <c r="A4" s="45" t="s">
        <v>34</v>
      </c>
      <c r="B4" s="46" t="s">
        <v>35</v>
      </c>
      <c r="C4" s="95" t="s">
        <v>70</v>
      </c>
      <c r="D4" s="12">
        <v>33</v>
      </c>
      <c r="E4" s="47">
        <v>500</v>
      </c>
      <c r="F4" s="48">
        <f t="shared" ref="F4:F11" si="0">E4*D4</f>
        <v>16500</v>
      </c>
      <c r="G4" s="94" t="s">
        <v>383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3.5" customHeight="1" x14ac:dyDescent="0.3">
      <c r="A5" s="45" t="s">
        <v>37</v>
      </c>
      <c r="B5" s="46" t="s">
        <v>38</v>
      </c>
      <c r="C5" s="95" t="s">
        <v>70</v>
      </c>
      <c r="D5" s="12">
        <v>2</v>
      </c>
      <c r="E5" s="47">
        <v>500</v>
      </c>
      <c r="F5" s="48">
        <f t="shared" si="0"/>
        <v>1000</v>
      </c>
      <c r="G5" s="4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customHeight="1" x14ac:dyDescent="0.3">
      <c r="A6" s="45" t="s">
        <v>39</v>
      </c>
      <c r="B6" s="46" t="s">
        <v>40</v>
      </c>
      <c r="C6" s="46" t="s">
        <v>36</v>
      </c>
      <c r="D6" s="12">
        <v>4</v>
      </c>
      <c r="E6" s="47">
        <v>1000</v>
      </c>
      <c r="F6" s="48">
        <f>E6*D6</f>
        <v>4000</v>
      </c>
      <c r="G6" s="4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5" hidden="1" x14ac:dyDescent="0.3">
      <c r="A7" s="45" t="s">
        <v>41</v>
      </c>
      <c r="B7" s="46" t="s">
        <v>42</v>
      </c>
      <c r="C7" s="46" t="s">
        <v>43</v>
      </c>
      <c r="D7" s="12"/>
      <c r="E7" s="47"/>
      <c r="F7" s="48">
        <f t="shared" si="0"/>
        <v>0</v>
      </c>
      <c r="G7" s="4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1" hidden="1" x14ac:dyDescent="0.3">
      <c r="A8" s="45" t="s">
        <v>44</v>
      </c>
      <c r="B8" s="46" t="s">
        <v>45</v>
      </c>
      <c r="C8" s="46" t="s">
        <v>43</v>
      </c>
      <c r="D8" s="12"/>
      <c r="E8" s="47"/>
      <c r="F8" s="48">
        <f t="shared" si="0"/>
        <v>0</v>
      </c>
      <c r="G8" s="4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5" hidden="1" x14ac:dyDescent="0.3">
      <c r="A9" s="45" t="s">
        <v>46</v>
      </c>
      <c r="B9" s="12" t="s">
        <v>47</v>
      </c>
      <c r="C9" s="12" t="s">
        <v>36</v>
      </c>
      <c r="D9" s="12"/>
      <c r="E9" s="48"/>
      <c r="F9" s="48">
        <f t="shared" si="0"/>
        <v>0</v>
      </c>
      <c r="G9" s="50" t="s">
        <v>48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5" hidden="1" x14ac:dyDescent="0.3">
      <c r="A10" s="45" t="s">
        <v>49</v>
      </c>
      <c r="B10" s="12" t="s">
        <v>50</v>
      </c>
      <c r="C10" s="12" t="s">
        <v>36</v>
      </c>
      <c r="D10" s="12"/>
      <c r="E10" s="48"/>
      <c r="F10" s="48">
        <f t="shared" si="0"/>
        <v>0</v>
      </c>
      <c r="G10" s="5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1" hidden="1" x14ac:dyDescent="0.3">
      <c r="A11" s="45" t="s">
        <v>51</v>
      </c>
      <c r="B11" s="46" t="s">
        <v>52</v>
      </c>
      <c r="C11" s="46" t="s">
        <v>53</v>
      </c>
      <c r="D11" s="12"/>
      <c r="E11" s="47"/>
      <c r="F11" s="48">
        <f t="shared" si="0"/>
        <v>0</v>
      </c>
      <c r="G11" s="50" t="s">
        <v>54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5" x14ac:dyDescent="0.3">
      <c r="A12" s="51"/>
      <c r="B12" s="52" t="s">
        <v>55</v>
      </c>
      <c r="C12" s="52"/>
      <c r="D12" s="52"/>
      <c r="E12" s="53"/>
      <c r="F12" s="53"/>
      <c r="G12" s="54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" customHeight="1" x14ac:dyDescent="0.3">
      <c r="A13" s="55">
        <v>1.9</v>
      </c>
      <c r="B13" s="12" t="s">
        <v>386</v>
      </c>
      <c r="C13" s="12" t="s">
        <v>36</v>
      </c>
      <c r="D13" s="12">
        <v>105</v>
      </c>
      <c r="E13" s="48">
        <v>100</v>
      </c>
      <c r="F13" s="48">
        <v>10050</v>
      </c>
      <c r="G13" s="96" t="s">
        <v>385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5" hidden="1" customHeight="1" x14ac:dyDescent="0.3">
      <c r="A14" s="56">
        <v>1.1000000000000001</v>
      </c>
      <c r="B14" s="12" t="s">
        <v>56</v>
      </c>
      <c r="C14" s="12" t="s">
        <v>43</v>
      </c>
      <c r="D14" s="12"/>
      <c r="E14" s="48"/>
      <c r="F14" s="48">
        <f t="shared" ref="F14:F17" si="1">E14*D14</f>
        <v>0</v>
      </c>
      <c r="G14" s="5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1" hidden="1" x14ac:dyDescent="0.3">
      <c r="A15" s="55">
        <v>1.1100000000000001</v>
      </c>
      <c r="B15" s="12" t="s">
        <v>57</v>
      </c>
      <c r="C15" s="12" t="s">
        <v>36</v>
      </c>
      <c r="D15" s="12"/>
      <c r="E15" s="48"/>
      <c r="F15" s="48">
        <f t="shared" si="1"/>
        <v>0</v>
      </c>
      <c r="G15" s="49" t="s">
        <v>58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 x14ac:dyDescent="0.3">
      <c r="A16" s="56">
        <v>1.1200000000000001</v>
      </c>
      <c r="B16" s="46" t="s">
        <v>59</v>
      </c>
      <c r="C16" s="46" t="s">
        <v>53</v>
      </c>
      <c r="D16" s="12"/>
      <c r="E16" s="47"/>
      <c r="F16" s="48">
        <v>0</v>
      </c>
      <c r="G16" s="96" t="s">
        <v>384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hidden="1" customHeight="1" x14ac:dyDescent="0.3">
      <c r="A17" s="57">
        <v>1.1299999999999999</v>
      </c>
      <c r="B17" s="12" t="s">
        <v>60</v>
      </c>
      <c r="C17" s="12" t="s">
        <v>36</v>
      </c>
      <c r="D17" s="12"/>
      <c r="E17" s="48"/>
      <c r="F17" s="48">
        <f t="shared" si="1"/>
        <v>0</v>
      </c>
      <c r="G17" s="5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customHeight="1" x14ac:dyDescent="0.3">
      <c r="A18" s="51"/>
      <c r="B18" s="52" t="s">
        <v>61</v>
      </c>
      <c r="C18" s="52"/>
      <c r="D18" s="52"/>
      <c r="E18" s="53"/>
      <c r="F18" s="53"/>
      <c r="G18" s="5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 x14ac:dyDescent="0.3">
      <c r="A19" s="55">
        <v>1.1399999999999999</v>
      </c>
      <c r="B19" s="12" t="s">
        <v>387</v>
      </c>
      <c r="C19" s="12" t="s">
        <v>62</v>
      </c>
      <c r="D19" s="12">
        <v>1</v>
      </c>
      <c r="E19" s="48">
        <v>300</v>
      </c>
      <c r="F19" s="48">
        <v>300</v>
      </c>
      <c r="G19" s="5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5" customHeight="1" x14ac:dyDescent="0.3">
      <c r="A20" s="45" t="s">
        <v>63</v>
      </c>
      <c r="B20" s="12" t="s">
        <v>64</v>
      </c>
      <c r="C20" s="12" t="s">
        <v>62</v>
      </c>
      <c r="D20" s="12">
        <v>1</v>
      </c>
      <c r="E20" s="48">
        <v>150</v>
      </c>
      <c r="F20" s="48">
        <v>150</v>
      </c>
      <c r="G20" s="5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5" customHeight="1" x14ac:dyDescent="0.3">
      <c r="A21" s="55">
        <v>1.1599999999999999</v>
      </c>
      <c r="B21" s="12" t="s">
        <v>65</v>
      </c>
      <c r="C21" s="12" t="s">
        <v>62</v>
      </c>
      <c r="D21" s="12">
        <v>1</v>
      </c>
      <c r="E21" s="48">
        <v>2000</v>
      </c>
      <c r="F21" s="48">
        <v>2000</v>
      </c>
      <c r="G21" s="50" t="s">
        <v>66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45" t="s">
        <v>67</v>
      </c>
      <c r="B22" s="12" t="s">
        <v>68</v>
      </c>
      <c r="C22" s="12" t="s">
        <v>62</v>
      </c>
      <c r="D22" s="12">
        <v>1</v>
      </c>
      <c r="E22" s="48">
        <v>100</v>
      </c>
      <c r="F22" s="48">
        <v>100</v>
      </c>
      <c r="G22" s="50" t="s">
        <v>66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45"/>
      <c r="B23" s="12"/>
      <c r="C23" s="12"/>
      <c r="D23" s="12"/>
      <c r="E23" s="48"/>
      <c r="F23" s="48"/>
      <c r="G23" s="5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55">
        <v>1.18</v>
      </c>
      <c r="B24" s="12" t="s">
        <v>69</v>
      </c>
      <c r="C24" s="12" t="s">
        <v>62</v>
      </c>
      <c r="D24" s="12">
        <v>2</v>
      </c>
      <c r="E24" s="48">
        <v>150</v>
      </c>
      <c r="F24" s="48">
        <v>150</v>
      </c>
      <c r="G24" s="50" t="s">
        <v>66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hidden="1" customHeight="1" x14ac:dyDescent="0.3">
      <c r="A25" s="55">
        <v>1.19</v>
      </c>
      <c r="B25" s="12" t="s">
        <v>388</v>
      </c>
      <c r="C25" s="12" t="s">
        <v>70</v>
      </c>
      <c r="D25" s="12">
        <v>4</v>
      </c>
      <c r="E25" s="48"/>
      <c r="F25" s="48">
        <f t="shared" ref="F25:F28" si="2">E25*D25</f>
        <v>0</v>
      </c>
      <c r="G25" s="5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hidden="1" customHeight="1" x14ac:dyDescent="0.3">
      <c r="A26" s="45" t="s">
        <v>71</v>
      </c>
      <c r="B26" s="12" t="s">
        <v>72</v>
      </c>
      <c r="C26" s="12" t="s">
        <v>53</v>
      </c>
      <c r="D26" s="12"/>
      <c r="E26" s="48"/>
      <c r="F26" s="48">
        <f t="shared" si="2"/>
        <v>0</v>
      </c>
      <c r="G26" s="5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hidden="1" customHeight="1" x14ac:dyDescent="0.3">
      <c r="A27" s="55">
        <v>1.21</v>
      </c>
      <c r="B27" s="12" t="s">
        <v>73</v>
      </c>
      <c r="C27" s="12" t="s">
        <v>53</v>
      </c>
      <c r="D27" s="12"/>
      <c r="E27" s="48"/>
      <c r="F27" s="48">
        <f t="shared" si="2"/>
        <v>0</v>
      </c>
      <c r="G27" s="5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hidden="1" customHeight="1" x14ac:dyDescent="0.3">
      <c r="A28" s="45" t="s">
        <v>74</v>
      </c>
      <c r="B28" s="12" t="s">
        <v>75</v>
      </c>
      <c r="C28" s="12" t="s">
        <v>53</v>
      </c>
      <c r="D28" s="12"/>
      <c r="E28" s="48"/>
      <c r="F28" s="48">
        <f t="shared" si="2"/>
        <v>0</v>
      </c>
      <c r="G28" s="5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51"/>
      <c r="B29" s="52" t="s">
        <v>76</v>
      </c>
      <c r="C29" s="52"/>
      <c r="D29" s="52"/>
      <c r="E29" s="53"/>
      <c r="F29" s="53"/>
      <c r="G29" s="54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45" t="s">
        <v>77</v>
      </c>
      <c r="B30" s="46" t="s">
        <v>78</v>
      </c>
      <c r="C30" s="46" t="s">
        <v>62</v>
      </c>
      <c r="D30" s="12">
        <v>6</v>
      </c>
      <c r="E30" s="47">
        <v>200</v>
      </c>
      <c r="F30" s="48">
        <v>1200</v>
      </c>
      <c r="G30" s="5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hidden="1" customHeight="1" x14ac:dyDescent="0.3">
      <c r="A31" s="45" t="s">
        <v>79</v>
      </c>
      <c r="B31" s="46" t="s">
        <v>80</v>
      </c>
      <c r="C31" s="46" t="s">
        <v>62</v>
      </c>
      <c r="D31" s="12"/>
      <c r="E31" s="47"/>
      <c r="F31" s="48">
        <f t="shared" ref="F31:F36" si="3">E31*D31</f>
        <v>0</v>
      </c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45" t="s">
        <v>81</v>
      </c>
      <c r="B32" s="46" t="s">
        <v>82</v>
      </c>
      <c r="C32" s="46" t="s">
        <v>53</v>
      </c>
      <c r="D32" s="12"/>
      <c r="E32" s="47"/>
      <c r="F32" s="48">
        <v>8000</v>
      </c>
      <c r="G32" s="50"/>
      <c r="H32" s="127" t="s">
        <v>438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hidden="1" customHeight="1" x14ac:dyDescent="0.3">
      <c r="A33" s="55">
        <v>1.26</v>
      </c>
      <c r="B33" s="46" t="s">
        <v>83</v>
      </c>
      <c r="C33" s="46" t="s">
        <v>84</v>
      </c>
      <c r="D33" s="12"/>
      <c r="E33" s="47"/>
      <c r="F33" s="48">
        <f t="shared" si="3"/>
        <v>0</v>
      </c>
      <c r="G33" s="50"/>
      <c r="H33" s="127" t="s">
        <v>438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5">
      <c r="A34" s="45" t="s">
        <v>85</v>
      </c>
      <c r="B34" s="12" t="s">
        <v>86</v>
      </c>
      <c r="C34" s="12" t="s">
        <v>53</v>
      </c>
      <c r="D34" s="12"/>
      <c r="E34" s="48"/>
      <c r="F34" s="48">
        <v>6000</v>
      </c>
      <c r="G34" s="58" t="s">
        <v>389</v>
      </c>
      <c r="H34" s="127" t="s">
        <v>438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hidden="1" customHeight="1" x14ac:dyDescent="0.3">
      <c r="A35" s="45" t="s">
        <v>87</v>
      </c>
      <c r="B35" s="12" t="s">
        <v>88</v>
      </c>
      <c r="C35" s="12" t="s">
        <v>84</v>
      </c>
      <c r="D35" s="12"/>
      <c r="E35" s="48"/>
      <c r="F35" s="48">
        <f t="shared" si="3"/>
        <v>0</v>
      </c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hidden="1" customHeight="1" x14ac:dyDescent="0.3">
      <c r="A36" s="45" t="s">
        <v>89</v>
      </c>
      <c r="B36" s="12" t="s">
        <v>90</v>
      </c>
      <c r="C36" s="12" t="s">
        <v>62</v>
      </c>
      <c r="D36" s="12"/>
      <c r="E36" s="48"/>
      <c r="F36" s="48">
        <f t="shared" si="3"/>
        <v>0</v>
      </c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51"/>
      <c r="B37" s="52" t="s">
        <v>91</v>
      </c>
      <c r="C37" s="52"/>
      <c r="D37" s="52"/>
      <c r="E37" s="53"/>
      <c r="F37" s="53"/>
      <c r="G37" s="54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hidden="1" customHeight="1" x14ac:dyDescent="0.3">
      <c r="A38" s="45" t="s">
        <v>92</v>
      </c>
      <c r="B38" s="12" t="s">
        <v>93</v>
      </c>
      <c r="C38" s="12" t="s">
        <v>62</v>
      </c>
      <c r="D38" s="12"/>
      <c r="E38" s="48"/>
      <c r="F38" s="48">
        <f>E38*D38</f>
        <v>0</v>
      </c>
      <c r="G38" s="5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60"/>
      <c r="B39" s="61" t="s">
        <v>94</v>
      </c>
      <c r="C39" s="61"/>
      <c r="D39" s="62"/>
      <c r="E39" s="62"/>
      <c r="F39" s="63">
        <f>SUM(F4:F38)</f>
        <v>49450</v>
      </c>
      <c r="G39" s="64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/>
      <c r="B41" s="124" t="s">
        <v>95</v>
      </c>
      <c r="C41" s="123"/>
      <c r="D41" s="123"/>
      <c r="E41" s="123"/>
      <c r="F41" s="123"/>
      <c r="G41" s="123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"/>
      <c r="B42" s="124" t="s">
        <v>96</v>
      </c>
      <c r="C42" s="123"/>
      <c r="D42" s="123"/>
      <c r="E42" s="123"/>
      <c r="F42" s="123"/>
      <c r="G42" s="123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"/>
      <c r="B43" s="135" t="s">
        <v>97</v>
      </c>
      <c r="C43" s="12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/>
      <c r="B44" s="126" t="s">
        <v>452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6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6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6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6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6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6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6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6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6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6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6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6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6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6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6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6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6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6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6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6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6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6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6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6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6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6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6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6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6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6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6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6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6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6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6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6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6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6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6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6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6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6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6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6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6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6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6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6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6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6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6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6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6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6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6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6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6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6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6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6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6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6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6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6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6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6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6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6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6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6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6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6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6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6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6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6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6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6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6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6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6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6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6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6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6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6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6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6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6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6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6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6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6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6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6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6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6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6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6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6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6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6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6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6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6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6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6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6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6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6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6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6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6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6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6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6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6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6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6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6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6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6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6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6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6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6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6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6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6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6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6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6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6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6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6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6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6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6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6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6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6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6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6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6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6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6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6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6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6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6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6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6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6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6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6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6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6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6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6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6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6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6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6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6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6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6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6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6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6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6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6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6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6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6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6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6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6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6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6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6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6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6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6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6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6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6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6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6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6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6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6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6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6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6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6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6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6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6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6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6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6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6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6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6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6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6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6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6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6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6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6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6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6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6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6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6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6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6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6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6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6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6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6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6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6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6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6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6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6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6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6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6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6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6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6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6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6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6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6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6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6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6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6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6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6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6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6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6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6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6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6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6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6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6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6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6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6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6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6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6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6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6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6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6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6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6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6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6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6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6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6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6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6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6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6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6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6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6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6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6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6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6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6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6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6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6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6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6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6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6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6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6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6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6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6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6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6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6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6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6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6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6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6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6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6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6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6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6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6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6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6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6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6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6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6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6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6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6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6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6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6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6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6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6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6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6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6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6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6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6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6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6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6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6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6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6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6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6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6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6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6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6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6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6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6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6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6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6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6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6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6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6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6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6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6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6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6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6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6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6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6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6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6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6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6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6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6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6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6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6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6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6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6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6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6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6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6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6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6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6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6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6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6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6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6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6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6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6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6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6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6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6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6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6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6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6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6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6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6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6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6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6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6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6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6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6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6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6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6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6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6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6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6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6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6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6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6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6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6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6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6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6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6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6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6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6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6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6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6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6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6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6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6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6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6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6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6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6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6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6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6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6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6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6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6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6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6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6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6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6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6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6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6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6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6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6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6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6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6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6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6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6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6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6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6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6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6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6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6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6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6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6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6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6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6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6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6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6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6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6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6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6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6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6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6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6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6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6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6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6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6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6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6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6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6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6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6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6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6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6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6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6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6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6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6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6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6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6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6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6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6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6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6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6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6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6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6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6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6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6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6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6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6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6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6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6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6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6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6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6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6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6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6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6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6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6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6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6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6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6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6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6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6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6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6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6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6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6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6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6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6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6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6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6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6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6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6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6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6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6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6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6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6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6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6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6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6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6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6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6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6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6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6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6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6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6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6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6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6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6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6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6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6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6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6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6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6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6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6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6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6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6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6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6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6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6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6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6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6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6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6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6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6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6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6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6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6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6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6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6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6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6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6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6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6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6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6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6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6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6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6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6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6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6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6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6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6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6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6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6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6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6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6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6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6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6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6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6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6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6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6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6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6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6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6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6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6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6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6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6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6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6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6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6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6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6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6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6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6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6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6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6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6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6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6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6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6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6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6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6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6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6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6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6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6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6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6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6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6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6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6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6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6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6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6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6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6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6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6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6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6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6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6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6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6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6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6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6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6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6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6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6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6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6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6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6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6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6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6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6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6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6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6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6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6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6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6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6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6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6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6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6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6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6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6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6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6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6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6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6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6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6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6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6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6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6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6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6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6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6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6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6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6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6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6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6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6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6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6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6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6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6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6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6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6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6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6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 x14ac:dyDescent="0.3">
      <c r="A1001" s="7"/>
      <c r="B1001" s="7"/>
      <c r="C1001" s="7"/>
      <c r="D1001" s="7"/>
      <c r="E1001" s="7"/>
      <c r="F1001" s="7"/>
      <c r="G1001" s="65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2">
    <mergeCell ref="B41:G41"/>
    <mergeCell ref="B42:G42"/>
  </mergeCells>
  <pageMargins left="0.43307086614173229" right="0.43307086614173229" top="0.74803149606299213" bottom="0.74803149606299213" header="0" footer="0"/>
  <pageSetup paperSize="9" scale="9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3"/>
  <sheetViews>
    <sheetView rightToLeft="1" topLeftCell="A3" workbookViewId="0">
      <selection activeCell="B19" sqref="B19"/>
    </sheetView>
  </sheetViews>
  <sheetFormatPr defaultColWidth="14.3984375" defaultRowHeight="15" customHeight="1" x14ac:dyDescent="0.3"/>
  <cols>
    <col min="1" max="1" width="8" customWidth="1"/>
    <col min="2" max="2" width="66.09765625" customWidth="1"/>
    <col min="3" max="3" width="10.59765625" customWidth="1"/>
    <col min="4" max="4" width="7.3984375" customWidth="1"/>
    <col min="5" max="5" width="9.59765625" customWidth="1"/>
    <col min="6" max="6" width="11.3984375" bestFit="1" customWidth="1"/>
    <col min="7" max="7" width="44" style="107" customWidth="1"/>
    <col min="8" max="26" width="9" customWidth="1"/>
  </cols>
  <sheetData>
    <row r="1" spans="1:26" ht="16.5" customHeight="1" x14ac:dyDescent="0.3">
      <c r="A1" s="34" t="s">
        <v>98</v>
      </c>
      <c r="B1" s="35" t="s">
        <v>99</v>
      </c>
      <c r="C1" s="35"/>
      <c r="D1" s="35"/>
      <c r="E1" s="35"/>
      <c r="F1" s="35"/>
      <c r="G1" s="103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" customHeight="1" x14ac:dyDescent="0.3">
      <c r="A2" s="38" t="s">
        <v>27</v>
      </c>
      <c r="B2" s="39" t="s">
        <v>28</v>
      </c>
      <c r="C2" s="39" t="s">
        <v>29</v>
      </c>
      <c r="D2" s="39" t="s">
        <v>30</v>
      </c>
      <c r="E2" s="39" t="s">
        <v>31</v>
      </c>
      <c r="F2" s="40" t="s">
        <v>32</v>
      </c>
      <c r="G2" s="104" t="s">
        <v>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27" customHeight="1" x14ac:dyDescent="0.3">
      <c r="A3" s="45" t="s">
        <v>100</v>
      </c>
      <c r="B3" s="95" t="s">
        <v>391</v>
      </c>
      <c r="C3" s="46"/>
      <c r="D3" s="12"/>
      <c r="E3" s="47"/>
      <c r="F3" s="48">
        <f t="shared" ref="F3:F14" si="0">E3*D3</f>
        <v>0</v>
      </c>
      <c r="G3" s="94" t="s">
        <v>394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27" customHeight="1" x14ac:dyDescent="0.3">
      <c r="A4" s="109" t="s">
        <v>392</v>
      </c>
      <c r="B4" s="46" t="s">
        <v>433</v>
      </c>
      <c r="C4" s="46" t="s">
        <v>434</v>
      </c>
      <c r="D4" s="12">
        <v>24</v>
      </c>
      <c r="E4" s="47">
        <v>350</v>
      </c>
      <c r="F4" s="48">
        <f>D4*E4</f>
        <v>8400</v>
      </c>
      <c r="G4" s="128" t="s">
        <v>437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31" x14ac:dyDescent="0.3">
      <c r="A5" s="109" t="s">
        <v>393</v>
      </c>
      <c r="B5" s="95" t="s">
        <v>395</v>
      </c>
      <c r="C5" s="46" t="s">
        <v>36</v>
      </c>
      <c r="D5" s="12">
        <v>68</v>
      </c>
      <c r="E5" s="47">
        <v>350</v>
      </c>
      <c r="F5" s="48">
        <f>D5*E5</f>
        <v>23800</v>
      </c>
      <c r="G5" s="94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5" hidden="1" x14ac:dyDescent="0.3">
      <c r="A6" s="45" t="s">
        <v>101</v>
      </c>
      <c r="B6" s="46" t="s">
        <v>102</v>
      </c>
      <c r="C6" s="46" t="s">
        <v>36</v>
      </c>
      <c r="D6" s="12">
        <v>0</v>
      </c>
      <c r="E6" s="47"/>
      <c r="F6" s="48">
        <f t="shared" si="0"/>
        <v>0</v>
      </c>
      <c r="G6" s="49" t="s">
        <v>103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3.5" hidden="1" customHeight="1" x14ac:dyDescent="0.3">
      <c r="A7" s="45" t="s">
        <v>104</v>
      </c>
      <c r="B7" s="46" t="s">
        <v>105</v>
      </c>
      <c r="C7" s="46" t="s">
        <v>53</v>
      </c>
      <c r="D7" s="12"/>
      <c r="E7" s="47"/>
      <c r="F7" s="48">
        <f t="shared" si="0"/>
        <v>0</v>
      </c>
      <c r="G7" s="49" t="s">
        <v>106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5" customHeight="1" x14ac:dyDescent="0.3">
      <c r="A8" s="45" t="s">
        <v>107</v>
      </c>
      <c r="B8" s="46" t="s">
        <v>108</v>
      </c>
      <c r="C8" s="46" t="s">
        <v>36</v>
      </c>
      <c r="D8" s="12">
        <v>28</v>
      </c>
      <c r="E8" s="47">
        <v>350</v>
      </c>
      <c r="F8" s="48">
        <f t="shared" si="0"/>
        <v>9800</v>
      </c>
      <c r="G8" s="4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5" hidden="1" x14ac:dyDescent="0.3">
      <c r="A9" s="45" t="s">
        <v>109</v>
      </c>
      <c r="B9" s="46" t="s">
        <v>110</v>
      </c>
      <c r="C9" s="46" t="s">
        <v>36</v>
      </c>
      <c r="D9" s="12"/>
      <c r="E9" s="47"/>
      <c r="F9" s="48">
        <f t="shared" si="0"/>
        <v>0</v>
      </c>
      <c r="G9" s="4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5" x14ac:dyDescent="0.3">
      <c r="A10" s="45" t="s">
        <v>111</v>
      </c>
      <c r="B10" s="46" t="s">
        <v>112</v>
      </c>
      <c r="C10" s="46" t="s">
        <v>53</v>
      </c>
      <c r="D10" s="12">
        <v>1</v>
      </c>
      <c r="E10" s="47">
        <v>2000</v>
      </c>
      <c r="F10" s="48">
        <v>2000</v>
      </c>
      <c r="G10" s="49"/>
      <c r="H10" s="127" t="s">
        <v>438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5" hidden="1" x14ac:dyDescent="0.3">
      <c r="A11" s="45" t="s">
        <v>113</v>
      </c>
      <c r="B11" s="12" t="s">
        <v>114</v>
      </c>
      <c r="C11" s="12" t="s">
        <v>36</v>
      </c>
      <c r="D11" s="12"/>
      <c r="E11" s="48"/>
      <c r="F11" s="48">
        <f t="shared" si="0"/>
        <v>0</v>
      </c>
      <c r="G11" s="49" t="s">
        <v>115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5" hidden="1" x14ac:dyDescent="0.3">
      <c r="A12" s="45" t="s">
        <v>116</v>
      </c>
      <c r="B12" s="12" t="s">
        <v>117</v>
      </c>
      <c r="C12" s="12" t="s">
        <v>36</v>
      </c>
      <c r="D12" s="12"/>
      <c r="E12" s="48"/>
      <c r="F12" s="48">
        <f t="shared" si="0"/>
        <v>0</v>
      </c>
      <c r="G12" s="4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1" x14ac:dyDescent="0.3">
      <c r="A13" s="45" t="s">
        <v>118</v>
      </c>
      <c r="B13" s="46" t="s">
        <v>446</v>
      </c>
      <c r="C13" s="46" t="s">
        <v>53</v>
      </c>
      <c r="D13" s="12"/>
      <c r="E13" s="47">
        <v>2500</v>
      </c>
      <c r="F13" s="48">
        <v>2500</v>
      </c>
      <c r="G13" s="4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5" hidden="1" x14ac:dyDescent="0.3">
      <c r="A14" s="45" t="s">
        <v>119</v>
      </c>
      <c r="B14" s="46" t="s">
        <v>120</v>
      </c>
      <c r="C14" s="46" t="s">
        <v>36</v>
      </c>
      <c r="D14" s="12"/>
      <c r="E14" s="47"/>
      <c r="F14" s="48">
        <f t="shared" si="0"/>
        <v>0</v>
      </c>
      <c r="G14" s="4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5" x14ac:dyDescent="0.3">
      <c r="A15" s="97" t="s">
        <v>119</v>
      </c>
      <c r="B15" s="98" t="s">
        <v>390</v>
      </c>
      <c r="C15" s="98"/>
      <c r="D15" s="99">
        <v>1</v>
      </c>
      <c r="E15" s="100">
        <v>600</v>
      </c>
      <c r="F15" s="101">
        <v>600</v>
      </c>
      <c r="G15" s="10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 x14ac:dyDescent="0.3">
      <c r="A16" s="60"/>
      <c r="B16" s="61" t="s">
        <v>121</v>
      </c>
      <c r="C16" s="61"/>
      <c r="D16" s="62"/>
      <c r="E16" s="62"/>
      <c r="F16" s="63">
        <f>SUM(F3:F15)</f>
        <v>47100</v>
      </c>
      <c r="G16" s="10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5" x14ac:dyDescent="0.3">
      <c r="A17" s="7"/>
      <c r="B17" s="124"/>
      <c r="C17" s="123"/>
      <c r="D17" s="123"/>
      <c r="E17" s="123"/>
      <c r="F17" s="123"/>
      <c r="G17" s="12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5" x14ac:dyDescent="0.3">
      <c r="A18" s="7"/>
      <c r="B18" s="7"/>
      <c r="C18" s="7"/>
      <c r="D18" s="7"/>
      <c r="E18" s="7"/>
      <c r="F18" s="7"/>
      <c r="G18" s="10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5" x14ac:dyDescent="0.3">
      <c r="A19" s="7"/>
      <c r="B19" s="126" t="s">
        <v>452</v>
      </c>
      <c r="C19" s="7"/>
      <c r="D19" s="7"/>
      <c r="E19" s="7"/>
      <c r="F19" s="7"/>
      <c r="G19" s="10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5" x14ac:dyDescent="0.3">
      <c r="A20" s="7"/>
      <c r="B20" s="7"/>
      <c r="C20" s="7"/>
      <c r="D20" s="7"/>
      <c r="E20" s="7"/>
      <c r="F20" s="7"/>
      <c r="G20" s="10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5" x14ac:dyDescent="0.3">
      <c r="A21" s="7"/>
      <c r="B21" s="7"/>
      <c r="C21" s="7"/>
      <c r="D21" s="7"/>
      <c r="E21" s="7"/>
      <c r="F21" s="7"/>
      <c r="G21" s="10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5" x14ac:dyDescent="0.3">
      <c r="A22" s="7"/>
      <c r="B22" s="7"/>
      <c r="C22" s="7"/>
      <c r="D22" s="7"/>
      <c r="E22" s="7"/>
      <c r="F22" s="7"/>
      <c r="G22" s="10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5" x14ac:dyDescent="0.3">
      <c r="A23" s="7"/>
      <c r="B23" s="7"/>
      <c r="C23" s="7"/>
      <c r="D23" s="7"/>
      <c r="E23" s="7"/>
      <c r="F23" s="7"/>
      <c r="G23" s="10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7"/>
      <c r="B24" s="7"/>
      <c r="C24" s="7"/>
      <c r="D24" s="7"/>
      <c r="E24" s="7"/>
      <c r="F24" s="7"/>
      <c r="G24" s="10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7"/>
      <c r="B25" s="7"/>
      <c r="C25" s="7"/>
      <c r="D25" s="7"/>
      <c r="E25" s="7"/>
      <c r="F25" s="7"/>
      <c r="G25" s="10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7"/>
      <c r="B26" s="7"/>
      <c r="C26" s="7"/>
      <c r="D26" s="7"/>
      <c r="E26" s="7"/>
      <c r="F26" s="7"/>
      <c r="G26" s="10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7"/>
      <c r="B27" s="7"/>
      <c r="C27" s="7"/>
      <c r="D27" s="7"/>
      <c r="E27" s="7"/>
      <c r="F27" s="7"/>
      <c r="G27" s="10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7"/>
      <c r="B28" s="7"/>
      <c r="C28" s="7"/>
      <c r="D28" s="7"/>
      <c r="E28" s="7"/>
      <c r="F28" s="7"/>
      <c r="G28" s="10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7"/>
      <c r="B29" s="7"/>
      <c r="C29" s="7"/>
      <c r="D29" s="7"/>
      <c r="E29" s="7"/>
      <c r="F29" s="7"/>
      <c r="G29" s="10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7"/>
      <c r="B30" s="7"/>
      <c r="C30" s="7"/>
      <c r="D30" s="7"/>
      <c r="E30" s="7"/>
      <c r="F30" s="7"/>
      <c r="G30" s="10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7"/>
      <c r="B31" s="7"/>
      <c r="C31" s="7"/>
      <c r="D31" s="7"/>
      <c r="E31" s="7"/>
      <c r="F31" s="7"/>
      <c r="G31" s="10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7"/>
      <c r="B32" s="7"/>
      <c r="C32" s="7"/>
      <c r="D32" s="7"/>
      <c r="E32" s="7"/>
      <c r="F32" s="7"/>
      <c r="G32" s="10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7"/>
      <c r="B33" s="7"/>
      <c r="C33" s="7"/>
      <c r="D33" s="7"/>
      <c r="E33" s="7"/>
      <c r="F33" s="7"/>
      <c r="G33" s="10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7"/>
      <c r="B34" s="7"/>
      <c r="C34" s="7"/>
      <c r="D34" s="7"/>
      <c r="E34" s="7"/>
      <c r="F34" s="7"/>
      <c r="G34" s="10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7"/>
      <c r="B35" s="7"/>
      <c r="C35" s="7"/>
      <c r="D35" s="7"/>
      <c r="E35" s="7"/>
      <c r="F35" s="7"/>
      <c r="G35" s="10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7"/>
      <c r="B36" s="7"/>
      <c r="C36" s="7"/>
      <c r="D36" s="7"/>
      <c r="E36" s="7"/>
      <c r="F36" s="7"/>
      <c r="G36" s="10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7"/>
      <c r="B37" s="7"/>
      <c r="C37" s="7"/>
      <c r="D37" s="7"/>
      <c r="E37" s="7"/>
      <c r="F37" s="7"/>
      <c r="G37" s="10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7"/>
      <c r="B38" s="7"/>
      <c r="C38" s="7"/>
      <c r="D38" s="7"/>
      <c r="E38" s="7"/>
      <c r="F38" s="7"/>
      <c r="G38" s="10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7"/>
      <c r="B39" s="7"/>
      <c r="C39" s="7"/>
      <c r="D39" s="7"/>
      <c r="E39" s="7"/>
      <c r="F39" s="7"/>
      <c r="G39" s="10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"/>
      <c r="B40" s="7"/>
      <c r="C40" s="7"/>
      <c r="D40" s="7"/>
      <c r="E40" s="7"/>
      <c r="F40" s="7"/>
      <c r="G40" s="10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/>
      <c r="B41" s="7"/>
      <c r="C41" s="7"/>
      <c r="D41" s="7"/>
      <c r="E41" s="7"/>
      <c r="F41" s="7"/>
      <c r="G41" s="10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"/>
      <c r="B42" s="7"/>
      <c r="C42" s="7"/>
      <c r="D42" s="7"/>
      <c r="E42" s="7"/>
      <c r="F42" s="7"/>
      <c r="G42" s="10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"/>
      <c r="B43" s="7"/>
      <c r="C43" s="7"/>
      <c r="D43" s="7"/>
      <c r="E43" s="7"/>
      <c r="F43" s="7"/>
      <c r="G43" s="10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/>
      <c r="B44" s="7"/>
      <c r="C44" s="7"/>
      <c r="D44" s="7"/>
      <c r="E44" s="7"/>
      <c r="F44" s="7"/>
      <c r="G44" s="10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7"/>
      <c r="B45" s="7"/>
      <c r="C45" s="7"/>
      <c r="D45" s="7"/>
      <c r="E45" s="7"/>
      <c r="F45" s="7"/>
      <c r="G45" s="10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7"/>
      <c r="B46" s="7"/>
      <c r="C46" s="7"/>
      <c r="D46" s="7"/>
      <c r="E46" s="7"/>
      <c r="F46" s="7"/>
      <c r="G46" s="10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7"/>
      <c r="B47" s="7"/>
      <c r="C47" s="7"/>
      <c r="D47" s="7"/>
      <c r="E47" s="7"/>
      <c r="F47" s="7"/>
      <c r="G47" s="10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7"/>
      <c r="B48" s="7"/>
      <c r="C48" s="7"/>
      <c r="D48" s="7"/>
      <c r="E48" s="7"/>
      <c r="F48" s="7"/>
      <c r="G48" s="10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7"/>
      <c r="B49" s="7"/>
      <c r="C49" s="7"/>
      <c r="D49" s="7"/>
      <c r="E49" s="7"/>
      <c r="F49" s="7"/>
      <c r="G49" s="10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7"/>
      <c r="B50" s="7"/>
      <c r="C50" s="7"/>
      <c r="D50" s="7"/>
      <c r="E50" s="7"/>
      <c r="F50" s="7"/>
      <c r="G50" s="10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/>
      <c r="B51" s="7"/>
      <c r="C51" s="7"/>
      <c r="D51" s="7"/>
      <c r="E51" s="7"/>
      <c r="F51" s="7"/>
      <c r="G51" s="10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/>
      <c r="B52" s="7"/>
      <c r="C52" s="7"/>
      <c r="D52" s="7"/>
      <c r="E52" s="7"/>
      <c r="F52" s="7"/>
      <c r="G52" s="10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/>
      <c r="B53" s="7"/>
      <c r="C53" s="7"/>
      <c r="D53" s="7"/>
      <c r="E53" s="7"/>
      <c r="F53" s="7"/>
      <c r="G53" s="10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/>
      <c r="B54" s="7"/>
      <c r="C54" s="7"/>
      <c r="D54" s="7"/>
      <c r="E54" s="7"/>
      <c r="F54" s="7"/>
      <c r="G54" s="10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/>
      <c r="B55" s="7"/>
      <c r="C55" s="7"/>
      <c r="D55" s="7"/>
      <c r="E55" s="7"/>
      <c r="F55" s="7"/>
      <c r="G55" s="10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7"/>
      <c r="B56" s="7"/>
      <c r="C56" s="7"/>
      <c r="D56" s="7"/>
      <c r="E56" s="7"/>
      <c r="F56" s="7"/>
      <c r="G56" s="10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7"/>
      <c r="B57" s="7"/>
      <c r="C57" s="7"/>
      <c r="D57" s="7"/>
      <c r="E57" s="7"/>
      <c r="F57" s="7"/>
      <c r="G57" s="10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7"/>
      <c r="B58" s="7"/>
      <c r="C58" s="7"/>
      <c r="D58" s="7"/>
      <c r="E58" s="7"/>
      <c r="F58" s="7"/>
      <c r="G58" s="10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7"/>
      <c r="B59" s="7"/>
      <c r="C59" s="7"/>
      <c r="D59" s="7"/>
      <c r="E59" s="7"/>
      <c r="F59" s="7"/>
      <c r="G59" s="10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7"/>
      <c r="B60" s="7"/>
      <c r="C60" s="7"/>
      <c r="D60" s="7"/>
      <c r="E60" s="7"/>
      <c r="F60" s="7"/>
      <c r="G60" s="10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7"/>
      <c r="B61" s="7"/>
      <c r="C61" s="7"/>
      <c r="D61" s="7"/>
      <c r="E61" s="7"/>
      <c r="F61" s="7"/>
      <c r="G61" s="10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7"/>
      <c r="B62" s="7"/>
      <c r="C62" s="7"/>
      <c r="D62" s="7"/>
      <c r="E62" s="7"/>
      <c r="F62" s="7"/>
      <c r="G62" s="10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7"/>
      <c r="B63" s="7"/>
      <c r="C63" s="7"/>
      <c r="D63" s="7"/>
      <c r="E63" s="7"/>
      <c r="F63" s="7"/>
      <c r="G63" s="10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7"/>
      <c r="B64" s="7"/>
      <c r="C64" s="7"/>
      <c r="D64" s="7"/>
      <c r="E64" s="7"/>
      <c r="F64" s="7"/>
      <c r="G64" s="10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7"/>
      <c r="B65" s="7"/>
      <c r="C65" s="7"/>
      <c r="D65" s="7"/>
      <c r="E65" s="7"/>
      <c r="F65" s="7"/>
      <c r="G65" s="10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10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10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10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10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10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10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10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10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10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10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10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10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10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10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10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10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10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10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7"/>
      <c r="B84" s="7"/>
      <c r="C84" s="7"/>
      <c r="D84" s="7"/>
      <c r="E84" s="7"/>
      <c r="F84" s="7"/>
      <c r="G84" s="10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/>
      <c r="D85" s="7"/>
      <c r="E85" s="7"/>
      <c r="F85" s="7"/>
      <c r="G85" s="106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106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106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10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106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106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10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106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106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10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10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10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106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106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10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10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106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106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106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106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106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106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10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10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10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10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106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10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106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106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106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106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106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106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106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106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106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106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106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106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106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106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106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106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106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106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106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10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106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106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106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10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106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106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106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10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106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106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106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10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106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106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106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10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10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10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10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10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10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106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106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10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106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10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10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10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10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106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106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10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106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10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10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10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10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10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10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10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10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10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10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10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10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10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10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10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10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10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10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10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10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10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10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10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10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10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10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10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10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10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10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10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10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10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10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10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10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10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10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10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10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10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10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10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10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10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10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10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10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10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10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10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10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10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10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10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10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10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10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10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10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10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10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10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10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10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10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10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10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10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10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10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10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10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10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10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10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10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10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10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10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10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10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10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10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10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10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10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10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10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10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10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10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10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10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10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10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10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10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10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10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10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10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10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10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10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10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10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10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10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10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10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10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10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10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10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10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10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10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10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10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10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10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106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106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106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106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106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106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106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106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106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106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106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106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106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106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106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106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106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106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106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106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106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106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106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106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106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106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106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106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106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106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106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106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106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106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106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106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106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106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106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106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106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106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106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106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106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106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106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106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106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106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106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106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106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106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106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106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106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106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106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106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106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106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106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106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106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106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106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106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106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106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106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106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106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106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106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106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106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106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106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106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106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106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106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106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106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106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106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106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106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106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106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106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106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106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106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106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106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106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106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106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106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106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106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106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106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106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106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106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106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106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106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106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106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106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106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106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106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106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106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106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106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106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106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106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106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106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106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106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106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106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106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106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106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106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106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106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106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106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106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106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106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106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106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106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106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106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106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106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106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106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106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106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106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106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106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106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106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106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106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106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106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106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106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106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106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106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106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106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106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106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106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106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106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106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106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106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106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106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106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106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106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106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106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106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106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106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106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106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106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106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106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106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106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106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106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106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106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106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106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106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106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106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106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106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106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106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106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106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106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106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106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106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106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106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106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106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106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106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106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106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106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106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106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106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106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106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106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106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106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106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106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106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106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106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106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106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106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106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106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106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106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106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106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106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106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106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106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106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106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106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106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106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106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106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106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106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106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106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106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106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106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106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106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106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106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106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106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106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106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106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106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106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106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106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106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106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106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106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106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106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106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106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106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106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106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106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106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106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106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106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106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106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106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106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106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106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106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106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106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106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106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106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106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106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106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106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106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106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106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106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106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106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106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106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106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106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106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106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106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106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106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106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106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106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106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106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106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106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106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106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106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106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106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106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106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106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106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106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106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106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106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106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106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106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106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106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106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106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106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106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106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106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106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106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106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106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106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106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106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106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106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106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106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106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106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106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106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106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106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106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106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106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106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106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106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106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106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106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106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106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106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106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106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106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106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106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106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106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106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106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106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106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106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106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106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106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106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106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106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106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106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106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106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106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106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106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106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106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106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106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106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106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106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106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106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106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106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106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106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106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106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106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106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106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106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106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106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106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106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106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106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106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106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106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106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106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106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106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106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106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106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106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106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106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106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106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106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106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106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106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106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106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106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106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106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106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106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106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106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106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106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106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106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106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106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106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106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106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106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106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106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106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106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106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106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106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106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106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106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106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106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106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106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106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106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106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106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106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106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106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106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106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106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106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106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106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106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106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106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106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106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106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106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106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106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106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106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106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106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106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106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106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106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106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106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106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106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106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106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106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106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106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106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106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106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106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106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106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106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106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106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106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106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106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106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106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106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106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106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106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106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106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106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106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106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106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106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106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106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106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106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106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106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106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106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106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106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106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106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106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106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106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106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106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106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106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106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106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106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106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106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106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106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106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106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106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106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106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106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106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106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106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106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106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106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106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106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106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106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106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106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106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106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106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106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106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106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106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106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106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106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106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106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106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106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106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106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106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106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106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106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106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106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106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106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106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106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106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106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106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106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106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106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106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106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106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106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106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106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106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106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106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106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106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106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106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106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106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106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106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106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106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106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106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106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106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106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106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106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106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106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106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106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106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106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106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106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106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106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106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106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106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106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106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106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106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106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106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106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106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106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106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106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106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106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106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106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106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106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106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106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106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106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106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106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106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106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106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106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106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106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106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106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106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106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106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106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106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106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106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106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106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106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106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106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106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106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106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106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106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106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106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106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 x14ac:dyDescent="0.3">
      <c r="A1001" s="7"/>
      <c r="B1001" s="7"/>
      <c r="C1001" s="7"/>
      <c r="D1001" s="7"/>
      <c r="E1001" s="7"/>
      <c r="F1001" s="7"/>
      <c r="G1001" s="106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 x14ac:dyDescent="0.3">
      <c r="A1002" s="7"/>
      <c r="B1002" s="7"/>
      <c r="C1002" s="7"/>
      <c r="D1002" s="7"/>
      <c r="E1002" s="7"/>
      <c r="F1002" s="7"/>
      <c r="G1002" s="106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 x14ac:dyDescent="0.3">
      <c r="A1003" s="7"/>
      <c r="B1003" s="7"/>
      <c r="C1003" s="7"/>
      <c r="D1003" s="7"/>
      <c r="E1003" s="7"/>
      <c r="F1003" s="7"/>
      <c r="G1003" s="106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1">
    <mergeCell ref="B17:G17"/>
  </mergeCells>
  <pageMargins left="0.31496062992125984" right="0.31496062992125984" top="0.59055118110236227" bottom="0.74803149606299213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2"/>
  <sheetViews>
    <sheetView rightToLeft="1" topLeftCell="A26" workbookViewId="0">
      <selection activeCell="G40" sqref="G40"/>
    </sheetView>
  </sheetViews>
  <sheetFormatPr defaultColWidth="14.3984375" defaultRowHeight="15" customHeight="1" x14ac:dyDescent="0.3"/>
  <cols>
    <col min="1" max="1" width="8" customWidth="1"/>
    <col min="2" max="2" width="47.59765625" customWidth="1"/>
    <col min="3" max="3" width="7" customWidth="1"/>
    <col min="4" max="4" width="7.3984375" customWidth="1"/>
    <col min="5" max="5" width="10.8984375" bestFit="1" customWidth="1"/>
    <col min="6" max="6" width="16.59765625" customWidth="1"/>
    <col min="7" max="7" width="41.8984375" customWidth="1"/>
    <col min="8" max="26" width="9" customWidth="1"/>
  </cols>
  <sheetData>
    <row r="1" spans="1:26" ht="16.5" customHeight="1" x14ac:dyDescent="0.3">
      <c r="A1" s="34" t="s">
        <v>122</v>
      </c>
      <c r="B1" s="35" t="s">
        <v>123</v>
      </c>
      <c r="C1" s="35"/>
      <c r="D1" s="35"/>
      <c r="E1" s="35"/>
      <c r="F1" s="35"/>
      <c r="G1" s="36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" customHeight="1" x14ac:dyDescent="0.3">
      <c r="A2" s="38" t="s">
        <v>27</v>
      </c>
      <c r="B2" s="39" t="s">
        <v>28</v>
      </c>
      <c r="C2" s="39" t="s">
        <v>29</v>
      </c>
      <c r="D2" s="39" t="s">
        <v>30</v>
      </c>
      <c r="E2" s="39" t="s">
        <v>31</v>
      </c>
      <c r="F2" s="40" t="s">
        <v>32</v>
      </c>
      <c r="G2" s="41" t="s">
        <v>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" customHeight="1" x14ac:dyDescent="0.3">
      <c r="A3" s="42"/>
      <c r="B3" s="43" t="s">
        <v>124</v>
      </c>
      <c r="C3" s="43"/>
      <c r="D3" s="43"/>
      <c r="E3" s="43"/>
      <c r="F3" s="43"/>
      <c r="G3" s="44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5" x14ac:dyDescent="0.3">
      <c r="A4" s="45" t="s">
        <v>125</v>
      </c>
      <c r="B4" s="95" t="s">
        <v>407</v>
      </c>
      <c r="C4" s="46" t="s">
        <v>62</v>
      </c>
      <c r="D4" s="12">
        <v>1</v>
      </c>
      <c r="E4" s="47"/>
      <c r="F4" s="48">
        <v>1500</v>
      </c>
      <c r="G4" s="49" t="s">
        <v>126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31" x14ac:dyDescent="0.3">
      <c r="A5" s="108" t="s">
        <v>149</v>
      </c>
      <c r="B5" s="95" t="s">
        <v>408</v>
      </c>
      <c r="C5" s="46"/>
      <c r="D5" s="12"/>
      <c r="E5" s="47"/>
      <c r="F5" s="48"/>
      <c r="G5" s="49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3.5" customHeight="1" x14ac:dyDescent="0.3">
      <c r="A6" s="45" t="s">
        <v>127</v>
      </c>
      <c r="B6" s="46" t="s">
        <v>128</v>
      </c>
      <c r="C6" s="46" t="s">
        <v>62</v>
      </c>
      <c r="D6" s="12">
        <v>1</v>
      </c>
      <c r="E6" s="47"/>
      <c r="F6" s="48">
        <v>7000</v>
      </c>
      <c r="G6" s="4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5" customHeight="1" x14ac:dyDescent="0.3">
      <c r="A7" s="45" t="s">
        <v>129</v>
      </c>
      <c r="B7" s="46" t="s">
        <v>130</v>
      </c>
      <c r="C7" s="46" t="s">
        <v>62</v>
      </c>
      <c r="D7" s="12">
        <v>22</v>
      </c>
      <c r="E7" s="47">
        <v>380</v>
      </c>
      <c r="F7" s="48">
        <f t="shared" ref="F7:F9" si="0">E7*D7</f>
        <v>8360</v>
      </c>
      <c r="G7" s="49" t="s">
        <v>131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5" x14ac:dyDescent="0.3">
      <c r="A8" s="45" t="s">
        <v>132</v>
      </c>
      <c r="B8" s="46" t="s">
        <v>417</v>
      </c>
      <c r="C8" s="46" t="s">
        <v>62</v>
      </c>
      <c r="D8" s="12">
        <v>1</v>
      </c>
      <c r="E8" s="47">
        <v>900</v>
      </c>
      <c r="F8" s="48">
        <f t="shared" si="0"/>
        <v>900</v>
      </c>
      <c r="G8" s="4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1" x14ac:dyDescent="0.3">
      <c r="A9" s="45" t="s">
        <v>133</v>
      </c>
      <c r="B9" s="95" t="s">
        <v>416</v>
      </c>
      <c r="C9" s="46" t="s">
        <v>62</v>
      </c>
      <c r="D9" s="12">
        <v>2</v>
      </c>
      <c r="E9" s="47">
        <v>400</v>
      </c>
      <c r="F9" s="48">
        <f t="shared" si="0"/>
        <v>800</v>
      </c>
      <c r="G9" s="49" t="s">
        <v>134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1" x14ac:dyDescent="0.3">
      <c r="A10" s="45" t="s">
        <v>135</v>
      </c>
      <c r="B10" s="95" t="s">
        <v>413</v>
      </c>
      <c r="C10" s="46" t="s">
        <v>62</v>
      </c>
      <c r="D10" s="12">
        <v>1</v>
      </c>
      <c r="E10" s="47">
        <v>1200</v>
      </c>
      <c r="F10" s="48">
        <f t="shared" ref="F10:F11" si="1">E10*D10</f>
        <v>1200</v>
      </c>
      <c r="G10" s="4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5" hidden="1" x14ac:dyDescent="0.3">
      <c r="A11" s="45" t="s">
        <v>136</v>
      </c>
      <c r="B11" s="46" t="s">
        <v>137</v>
      </c>
      <c r="C11" s="46" t="s">
        <v>62</v>
      </c>
      <c r="D11" s="12"/>
      <c r="E11" s="47"/>
      <c r="F11" s="48">
        <f t="shared" si="1"/>
        <v>0</v>
      </c>
      <c r="G11" s="4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5" hidden="1" x14ac:dyDescent="0.3">
      <c r="A12" s="45" t="s">
        <v>138</v>
      </c>
      <c r="B12" s="46" t="s">
        <v>139</v>
      </c>
      <c r="C12" s="46" t="s">
        <v>62</v>
      </c>
      <c r="D12" s="12">
        <v>1</v>
      </c>
      <c r="E12" s="47"/>
      <c r="F12" s="48">
        <v>0</v>
      </c>
      <c r="G12" s="4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1" x14ac:dyDescent="0.3">
      <c r="A13" s="45" t="s">
        <v>414</v>
      </c>
      <c r="B13" s="46" t="s">
        <v>415</v>
      </c>
      <c r="C13" s="46"/>
      <c r="D13" s="12">
        <v>1</v>
      </c>
      <c r="E13" s="47">
        <v>1400</v>
      </c>
      <c r="F13" s="48">
        <v>1400</v>
      </c>
      <c r="G13" s="128" t="s">
        <v>439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5" x14ac:dyDescent="0.3">
      <c r="A14" s="45" t="s">
        <v>140</v>
      </c>
      <c r="B14" s="46" t="s">
        <v>141</v>
      </c>
      <c r="C14" s="46" t="s">
        <v>62</v>
      </c>
      <c r="D14" s="12">
        <v>1</v>
      </c>
      <c r="E14" s="47">
        <v>900</v>
      </c>
      <c r="F14" s="48">
        <f t="shared" ref="F14:F28" si="2">E14*D14</f>
        <v>900</v>
      </c>
      <c r="G14" s="4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5" customHeight="1" x14ac:dyDescent="0.3">
      <c r="A15" s="45" t="s">
        <v>142</v>
      </c>
      <c r="B15" s="46" t="s">
        <v>143</v>
      </c>
      <c r="C15" s="46" t="s">
        <v>62</v>
      </c>
      <c r="D15" s="12">
        <v>1</v>
      </c>
      <c r="E15" s="47">
        <v>600</v>
      </c>
      <c r="F15" s="48">
        <f t="shared" si="2"/>
        <v>600</v>
      </c>
      <c r="G15" s="4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 x14ac:dyDescent="0.3">
      <c r="A16" s="45" t="s">
        <v>144</v>
      </c>
      <c r="B16" s="46" t="s">
        <v>412</v>
      </c>
      <c r="C16" s="46" t="s">
        <v>62</v>
      </c>
      <c r="D16" s="12">
        <v>1</v>
      </c>
      <c r="E16" s="47">
        <v>550</v>
      </c>
      <c r="F16" s="48">
        <f t="shared" si="2"/>
        <v>550</v>
      </c>
      <c r="G16" s="4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1" x14ac:dyDescent="0.3">
      <c r="A17" s="45" t="s">
        <v>145</v>
      </c>
      <c r="B17" s="46" t="s">
        <v>410</v>
      </c>
      <c r="C17" s="46" t="s">
        <v>62</v>
      </c>
      <c r="D17" s="12">
        <v>4</v>
      </c>
      <c r="E17" s="47">
        <v>450</v>
      </c>
      <c r="F17" s="48">
        <f t="shared" si="2"/>
        <v>1800</v>
      </c>
      <c r="G17" s="4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5" customHeight="1" x14ac:dyDescent="0.3">
      <c r="A18" s="45" t="s">
        <v>146</v>
      </c>
      <c r="B18" s="46" t="s">
        <v>411</v>
      </c>
      <c r="C18" s="46" t="s">
        <v>62</v>
      </c>
      <c r="D18" s="12">
        <v>2</v>
      </c>
      <c r="E18" s="47">
        <v>450</v>
      </c>
      <c r="F18" s="48">
        <f t="shared" si="2"/>
        <v>900</v>
      </c>
      <c r="G18" s="4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 x14ac:dyDescent="0.3">
      <c r="A19" s="45" t="s">
        <v>147</v>
      </c>
      <c r="B19" s="46" t="s">
        <v>148</v>
      </c>
      <c r="C19" s="46" t="s">
        <v>62</v>
      </c>
      <c r="D19" s="12">
        <v>1</v>
      </c>
      <c r="E19" s="47">
        <v>450</v>
      </c>
      <c r="F19" s="48">
        <f t="shared" si="2"/>
        <v>450</v>
      </c>
      <c r="G19" s="4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customHeight="1" x14ac:dyDescent="0.3">
      <c r="A20" s="45" t="s">
        <v>149</v>
      </c>
      <c r="B20" s="46" t="s">
        <v>150</v>
      </c>
      <c r="C20" s="46" t="s">
        <v>62</v>
      </c>
      <c r="D20" s="12">
        <v>2</v>
      </c>
      <c r="E20" s="47">
        <v>450</v>
      </c>
      <c r="F20" s="48">
        <f t="shared" si="2"/>
        <v>900</v>
      </c>
      <c r="G20" s="4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5" customHeight="1" x14ac:dyDescent="0.3">
      <c r="A21" s="45" t="s">
        <v>151</v>
      </c>
      <c r="B21" s="46" t="s">
        <v>152</v>
      </c>
      <c r="C21" s="46" t="s">
        <v>62</v>
      </c>
      <c r="D21" s="12">
        <v>1</v>
      </c>
      <c r="E21" s="47">
        <v>450</v>
      </c>
      <c r="F21" s="48">
        <f t="shared" si="2"/>
        <v>450</v>
      </c>
      <c r="G21" s="4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5" hidden="1" customHeight="1" x14ac:dyDescent="0.3">
      <c r="A22" s="45" t="s">
        <v>153</v>
      </c>
      <c r="B22" s="46" t="s">
        <v>154</v>
      </c>
      <c r="C22" s="46" t="s">
        <v>62</v>
      </c>
      <c r="D22" s="12">
        <v>2</v>
      </c>
      <c r="E22" s="47"/>
      <c r="F22" s="48">
        <f t="shared" si="2"/>
        <v>0</v>
      </c>
      <c r="G22" s="4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5" customHeight="1" x14ac:dyDescent="0.3">
      <c r="A23" s="45" t="s">
        <v>155</v>
      </c>
      <c r="B23" s="46" t="s">
        <v>156</v>
      </c>
      <c r="C23" s="46" t="s">
        <v>62</v>
      </c>
      <c r="D23" s="12">
        <v>3</v>
      </c>
      <c r="E23" s="47">
        <v>100</v>
      </c>
      <c r="F23" s="48">
        <f t="shared" si="2"/>
        <v>300</v>
      </c>
      <c r="G23" s="4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hidden="1" customHeight="1" x14ac:dyDescent="0.3">
      <c r="A24" s="45" t="s">
        <v>157</v>
      </c>
      <c r="B24" s="46" t="s">
        <v>158</v>
      </c>
      <c r="C24" s="46" t="s">
        <v>62</v>
      </c>
      <c r="D24" s="12">
        <v>1</v>
      </c>
      <c r="E24" s="47"/>
      <c r="F24" s="48">
        <f t="shared" si="2"/>
        <v>0</v>
      </c>
      <c r="G24" s="4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hidden="1" customHeight="1" x14ac:dyDescent="0.3">
      <c r="A25" s="45" t="s">
        <v>159</v>
      </c>
      <c r="B25" s="46" t="s">
        <v>160</v>
      </c>
      <c r="C25" s="46" t="s">
        <v>62</v>
      </c>
      <c r="D25" s="12">
        <v>1</v>
      </c>
      <c r="E25" s="47"/>
      <c r="F25" s="48">
        <f t="shared" si="2"/>
        <v>0</v>
      </c>
      <c r="G25" s="4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45" t="s">
        <v>161</v>
      </c>
      <c r="B26" s="46" t="s">
        <v>418</v>
      </c>
      <c r="C26" s="46" t="s">
        <v>62</v>
      </c>
      <c r="D26" s="12">
        <v>1</v>
      </c>
      <c r="E26" s="47">
        <v>350</v>
      </c>
      <c r="F26" s="48">
        <f t="shared" si="2"/>
        <v>350</v>
      </c>
      <c r="G26" s="49" t="s">
        <v>162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hidden="1" customHeight="1" x14ac:dyDescent="0.3">
      <c r="A27" s="45" t="s">
        <v>163</v>
      </c>
      <c r="B27" s="46" t="s">
        <v>164</v>
      </c>
      <c r="C27" s="46" t="s">
        <v>62</v>
      </c>
      <c r="D27" s="12">
        <v>0</v>
      </c>
      <c r="E27" s="47"/>
      <c r="F27" s="48">
        <f t="shared" si="2"/>
        <v>0</v>
      </c>
      <c r="G27" s="4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hidden="1" customHeight="1" x14ac:dyDescent="0.3">
      <c r="A28" s="66" t="s">
        <v>165</v>
      </c>
      <c r="B28" s="67" t="s">
        <v>166</v>
      </c>
      <c r="C28" s="67" t="s">
        <v>62</v>
      </c>
      <c r="D28" s="68">
        <v>0</v>
      </c>
      <c r="E28" s="69"/>
      <c r="F28" s="48">
        <f t="shared" si="2"/>
        <v>0</v>
      </c>
      <c r="G28" s="7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71"/>
      <c r="B29" s="72" t="s">
        <v>167</v>
      </c>
      <c r="C29" s="72"/>
      <c r="D29" s="72"/>
      <c r="E29" s="72"/>
      <c r="F29" s="72"/>
      <c r="G29" s="73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45" t="s">
        <v>168</v>
      </c>
      <c r="B30" s="46" t="s">
        <v>169</v>
      </c>
      <c r="C30" s="46" t="s">
        <v>62</v>
      </c>
      <c r="D30" s="12">
        <v>10</v>
      </c>
      <c r="E30" s="47">
        <v>350</v>
      </c>
      <c r="F30" s="48">
        <f t="shared" ref="F30:F35" si="3">E30*D30</f>
        <v>3500</v>
      </c>
      <c r="G30" s="49" t="s">
        <v>170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45" t="s">
        <v>171</v>
      </c>
      <c r="B31" s="46" t="s">
        <v>172</v>
      </c>
      <c r="C31" s="46" t="s">
        <v>62</v>
      </c>
      <c r="D31" s="12">
        <v>4</v>
      </c>
      <c r="E31" s="47">
        <v>400</v>
      </c>
      <c r="F31" s="48">
        <f t="shared" si="3"/>
        <v>1600</v>
      </c>
      <c r="G31" s="4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45" t="s">
        <v>173</v>
      </c>
      <c r="B32" s="46" t="s">
        <v>174</v>
      </c>
      <c r="C32" s="46" t="s">
        <v>62</v>
      </c>
      <c r="D32" s="12">
        <v>4</v>
      </c>
      <c r="E32" s="47">
        <v>350</v>
      </c>
      <c r="F32" s="48">
        <f t="shared" si="3"/>
        <v>1400</v>
      </c>
      <c r="G32" s="4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hidden="1" customHeight="1" x14ac:dyDescent="0.3">
      <c r="A33" s="45" t="s">
        <v>175</v>
      </c>
      <c r="B33" s="46" t="s">
        <v>176</v>
      </c>
      <c r="C33" s="46" t="s">
        <v>62</v>
      </c>
      <c r="D33" s="12">
        <v>1</v>
      </c>
      <c r="E33" s="47"/>
      <c r="F33" s="48">
        <f t="shared" si="3"/>
        <v>0</v>
      </c>
      <c r="G33" s="4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hidden="1" customHeight="1" x14ac:dyDescent="0.3">
      <c r="A34" s="45" t="s">
        <v>177</v>
      </c>
      <c r="B34" s="46" t="s">
        <v>178</v>
      </c>
      <c r="C34" s="46" t="s">
        <v>62</v>
      </c>
      <c r="D34" s="12">
        <v>1</v>
      </c>
      <c r="E34" s="47"/>
      <c r="F34" s="48">
        <f t="shared" si="3"/>
        <v>0</v>
      </c>
      <c r="G34" s="4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hidden="1" customHeight="1" x14ac:dyDescent="0.3">
      <c r="A35" s="45" t="s">
        <v>179</v>
      </c>
      <c r="B35" s="46" t="s">
        <v>180</v>
      </c>
      <c r="C35" s="46" t="s">
        <v>62</v>
      </c>
      <c r="D35" s="12">
        <v>1</v>
      </c>
      <c r="E35" s="47"/>
      <c r="F35" s="48">
        <f t="shared" si="3"/>
        <v>0</v>
      </c>
      <c r="G35" s="4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74"/>
      <c r="B36" s="75" t="s">
        <v>181</v>
      </c>
      <c r="C36" s="75" t="s">
        <v>62</v>
      </c>
      <c r="D36" s="75"/>
      <c r="E36" s="75"/>
      <c r="F36" s="63">
        <f>SUM(F4:F35)</f>
        <v>34860</v>
      </c>
      <c r="G36" s="7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7"/>
      <c r="B37" s="77" t="s">
        <v>182</v>
      </c>
      <c r="C37" s="77"/>
      <c r="D37" s="77"/>
      <c r="E37" s="77"/>
      <c r="F37" s="77"/>
      <c r="G37" s="7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7"/>
      <c r="B38" s="112" t="s">
        <v>401</v>
      </c>
      <c r="C38" s="77"/>
      <c r="D38" s="77"/>
      <c r="E38" s="77"/>
      <c r="F38" s="77"/>
      <c r="G38" s="7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7"/>
      <c r="B39" s="112" t="s">
        <v>402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"/>
      <c r="B40" s="7" t="s">
        <v>455</v>
      </c>
      <c r="C40" s="7"/>
      <c r="D40" s="7"/>
      <c r="E40" s="7"/>
      <c r="F40" s="7"/>
      <c r="G40" s="6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/>
      <c r="B41" s="7" t="s">
        <v>454</v>
      </c>
      <c r="C41" s="7" t="s">
        <v>447</v>
      </c>
      <c r="D41" s="7"/>
      <c r="E41" s="7"/>
      <c r="F41" s="7"/>
      <c r="G41" s="6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"/>
      <c r="B42" s="126" t="s">
        <v>452</v>
      </c>
      <c r="C42" s="7"/>
      <c r="D42" s="7"/>
      <c r="E42" s="7"/>
      <c r="F42" s="7"/>
      <c r="G42" s="6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"/>
      <c r="B43" s="7"/>
      <c r="C43" s="7"/>
      <c r="D43" s="7"/>
      <c r="E43" s="7"/>
      <c r="F43" s="7"/>
      <c r="G43" s="6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/>
      <c r="B44" s="7"/>
      <c r="C44" s="7"/>
      <c r="D44" s="7"/>
      <c r="E44" s="7"/>
      <c r="F44" s="7"/>
      <c r="G44" s="6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7"/>
      <c r="B45" s="7"/>
      <c r="C45" s="7"/>
      <c r="D45" s="7"/>
      <c r="E45" s="7"/>
      <c r="F45" s="7"/>
      <c r="G45" s="6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7"/>
      <c r="B46" s="7"/>
      <c r="C46" s="7"/>
      <c r="D46" s="7"/>
      <c r="E46" s="7"/>
      <c r="F46" s="7"/>
      <c r="G46" s="6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7"/>
      <c r="B47" s="7"/>
      <c r="C47" s="7"/>
      <c r="D47" s="7"/>
      <c r="E47" s="7"/>
      <c r="F47" s="7"/>
      <c r="G47" s="6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7"/>
      <c r="B48" s="7"/>
      <c r="C48" s="7"/>
      <c r="D48" s="7"/>
      <c r="E48" s="7"/>
      <c r="F48" s="7"/>
      <c r="G48" s="6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7"/>
      <c r="B49" s="7"/>
      <c r="C49" s="7"/>
      <c r="D49" s="7"/>
      <c r="E49" s="7"/>
      <c r="F49" s="7"/>
      <c r="G49" s="6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7"/>
      <c r="B50" s="7"/>
      <c r="C50" s="7"/>
      <c r="D50" s="7"/>
      <c r="E50" s="7"/>
      <c r="F50" s="7"/>
      <c r="G50" s="6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/>
      <c r="B51" s="7"/>
      <c r="C51" s="7"/>
      <c r="D51" s="7"/>
      <c r="E51" s="7"/>
      <c r="F51" s="7"/>
      <c r="G51" s="6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/>
      <c r="B52" s="7"/>
      <c r="C52" s="7"/>
      <c r="D52" s="7"/>
      <c r="E52" s="7"/>
      <c r="F52" s="7"/>
      <c r="G52" s="6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/>
      <c r="B53" s="7"/>
      <c r="C53" s="7"/>
      <c r="D53" s="7"/>
      <c r="E53" s="7"/>
      <c r="F53" s="7"/>
      <c r="G53" s="6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/>
      <c r="B54" s="7"/>
      <c r="C54" s="7"/>
      <c r="D54" s="7"/>
      <c r="E54" s="7"/>
      <c r="F54" s="7"/>
      <c r="G54" s="6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/>
      <c r="B55" s="7"/>
      <c r="C55" s="7"/>
      <c r="D55" s="7"/>
      <c r="E55" s="7"/>
      <c r="F55" s="7"/>
      <c r="G55" s="6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7"/>
      <c r="B56" s="7"/>
      <c r="C56" s="7"/>
      <c r="D56" s="7"/>
      <c r="E56" s="7"/>
      <c r="F56" s="7"/>
      <c r="G56" s="6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7"/>
      <c r="B57" s="7"/>
      <c r="C57" s="7"/>
      <c r="D57" s="7"/>
      <c r="E57" s="7"/>
      <c r="F57" s="7"/>
      <c r="G57" s="6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7"/>
      <c r="B58" s="7"/>
      <c r="C58" s="7"/>
      <c r="D58" s="7"/>
      <c r="E58" s="7"/>
      <c r="F58" s="7"/>
      <c r="G58" s="6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7"/>
      <c r="B59" s="7"/>
      <c r="C59" s="7"/>
      <c r="D59" s="7"/>
      <c r="E59" s="7"/>
      <c r="F59" s="7"/>
      <c r="G59" s="6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7"/>
      <c r="B60" s="7"/>
      <c r="C60" s="7"/>
      <c r="D60" s="7"/>
      <c r="E60" s="7"/>
      <c r="F60" s="7"/>
      <c r="G60" s="6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7"/>
      <c r="B61" s="7"/>
      <c r="C61" s="7"/>
      <c r="D61" s="7"/>
      <c r="E61" s="7"/>
      <c r="F61" s="7"/>
      <c r="G61" s="6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7"/>
      <c r="B62" s="7"/>
      <c r="C62" s="7"/>
      <c r="D62" s="7"/>
      <c r="E62" s="7"/>
      <c r="F62" s="7"/>
      <c r="G62" s="6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7"/>
      <c r="B63" s="7"/>
      <c r="C63" s="7"/>
      <c r="D63" s="7"/>
      <c r="E63" s="7"/>
      <c r="F63" s="7"/>
      <c r="G63" s="6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7"/>
      <c r="B64" s="7"/>
      <c r="C64" s="7"/>
      <c r="D64" s="7"/>
      <c r="E64" s="7"/>
      <c r="F64" s="7"/>
      <c r="G64" s="6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7"/>
      <c r="B65" s="7"/>
      <c r="C65" s="7"/>
      <c r="D65" s="7"/>
      <c r="E65" s="7"/>
      <c r="F65" s="7"/>
      <c r="G65" s="6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6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6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6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6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6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6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6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6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6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6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6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6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6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6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6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6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6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6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7"/>
      <c r="B84" s="7"/>
      <c r="C84" s="7"/>
      <c r="D84" s="7"/>
      <c r="E84" s="7"/>
      <c r="F84" s="7"/>
      <c r="G84" s="6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/>
      <c r="D85" s="7"/>
      <c r="E85" s="7"/>
      <c r="F85" s="7"/>
      <c r="G85" s="6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6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6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6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6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6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6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6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6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6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6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6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6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6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6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6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6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6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6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6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6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6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6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6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6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6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6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6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6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6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6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6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6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6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6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6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6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6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6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6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6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6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6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6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6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6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6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6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6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6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6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6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6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6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6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6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6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6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6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6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6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6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6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6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6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6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6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6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6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6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6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6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6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6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6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6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6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6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6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6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6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6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6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6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6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6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6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6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6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6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6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6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6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6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6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6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6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6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6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6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6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6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6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6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6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6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6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6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6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6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6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6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6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6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6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6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6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6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6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6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6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6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6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6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6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6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6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6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6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6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6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6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6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6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6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6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6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6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6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6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6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6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6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6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6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6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6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6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6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6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6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6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6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6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6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6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6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6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6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6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6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6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6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6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6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6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6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6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6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6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6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6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6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6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6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6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6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6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6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6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6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6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6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6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6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6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6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6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6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6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6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6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6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6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6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6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6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6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6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6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6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6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6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6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6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6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6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6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6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6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6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6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6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6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6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6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6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6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6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6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6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6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6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6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6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6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6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6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6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6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6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6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6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6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6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6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6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6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6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6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6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6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6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6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6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6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6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6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6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6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6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6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6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6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6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6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6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6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6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6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6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6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6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6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6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6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6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6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6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6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6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6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6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6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6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6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6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6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6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6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6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6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6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6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6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6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6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6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6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6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6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6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6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6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6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6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6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6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6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6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6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6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6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6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6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6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6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6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6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6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6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6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6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6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6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6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6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6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6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6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6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6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6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6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6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6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6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6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6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6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6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6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6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6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6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6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6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6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6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6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6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6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6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6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6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6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6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6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6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6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6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6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6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6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6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6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6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6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6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6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6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6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6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6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6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6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6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6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6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6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6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6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6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6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6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6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6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6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6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6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6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6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6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6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6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6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6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6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6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6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6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6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6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6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6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6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6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6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6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6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6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6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6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6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6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6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6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6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6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6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6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6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6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6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6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6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6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6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6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6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6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6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6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6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6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6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6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6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6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6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6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6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6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6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6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6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6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6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6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6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6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6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6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6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6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6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6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6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6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6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6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6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6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6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6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6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6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6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6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6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6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6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6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6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6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6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6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6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6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6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6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6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6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6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6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6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6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6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6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6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6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6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6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6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6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6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6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6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6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6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6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6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6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6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6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6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6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6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6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6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6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6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6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6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6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6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6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6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6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6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6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6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6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6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6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6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6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6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6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6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6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6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6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6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6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6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6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6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6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6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6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6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6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6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6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6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6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6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6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6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6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6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6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6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6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6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6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6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6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6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6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6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6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6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6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6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6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6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6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6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6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6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6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6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6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6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6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6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6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6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6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6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6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6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6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6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6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6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6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6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6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6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6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6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6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6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6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6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6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6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6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6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6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6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6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6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6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6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6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6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6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6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6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6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6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6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6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6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6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6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6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6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6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6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6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6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6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6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6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6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6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6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6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6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6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6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6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6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6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6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6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6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6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6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6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6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6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6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6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6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6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6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6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6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6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6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6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6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6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6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6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6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6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6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6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6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6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6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6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6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6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6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6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6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6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6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6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6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6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6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6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6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6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6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6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6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6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6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6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6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6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6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6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6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6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6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6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6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6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6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6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6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6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6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6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6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6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6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6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6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6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6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6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6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6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6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6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6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6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6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6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6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6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6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6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6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6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6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6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6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6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6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6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6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6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6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6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6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6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6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6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6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6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6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6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6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6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6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6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6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6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6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6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6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6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6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6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6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6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6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6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6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6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6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6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6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6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6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6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6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6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6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6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6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6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6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6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6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6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6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6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6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6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6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6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6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6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6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6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6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6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6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6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6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6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6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6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6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6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6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6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6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6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6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6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6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6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6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6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6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6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6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6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6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6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6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6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6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6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6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6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6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6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6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6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6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6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6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6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6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6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6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6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6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6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6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6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6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6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6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6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6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6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6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6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6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6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6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6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6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6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6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6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6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6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6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6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6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6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6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6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6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6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6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6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6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6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6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6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6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6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6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6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6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6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6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6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6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6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6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6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6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6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6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6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6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6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6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6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6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6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6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6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6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6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6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6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6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6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6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6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6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6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6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6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6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6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6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6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6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6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6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6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6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6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6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6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6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6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6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6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6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6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6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6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6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 x14ac:dyDescent="0.3">
      <c r="A1001" s="7"/>
      <c r="B1001" s="7"/>
      <c r="C1001" s="7"/>
      <c r="D1001" s="7"/>
      <c r="E1001" s="7"/>
      <c r="F1001" s="7"/>
      <c r="G1001" s="65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 x14ac:dyDescent="0.3">
      <c r="A1002" s="7"/>
      <c r="B1002" s="7"/>
      <c r="C1002" s="7"/>
      <c r="D1002" s="7"/>
      <c r="E1002" s="7"/>
      <c r="F1002" s="7"/>
      <c r="G1002" s="65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pageMargins left="0.31496062992125984" right="0.31496062992125984" top="0.35433070866141736" bottom="0.35433070866141736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2"/>
  <sheetViews>
    <sheetView rightToLeft="1" topLeftCell="A40" zoomScale="120" zoomScaleNormal="120" workbookViewId="0">
      <selection activeCell="A45" sqref="A45"/>
    </sheetView>
  </sheetViews>
  <sheetFormatPr defaultColWidth="14.3984375" defaultRowHeight="15" customHeight="1" x14ac:dyDescent="0.3"/>
  <cols>
    <col min="1" max="1" width="6.8984375" customWidth="1"/>
    <col min="2" max="2" width="69.3984375" customWidth="1"/>
    <col min="3" max="3" width="7" customWidth="1"/>
    <col min="4" max="4" width="6.09765625" customWidth="1"/>
    <col min="5" max="5" width="9.59765625" customWidth="1"/>
    <col min="6" max="6" width="11.3984375" bestFit="1" customWidth="1"/>
    <col min="7" max="7" width="38" customWidth="1"/>
    <col min="8" max="26" width="9" customWidth="1"/>
  </cols>
  <sheetData>
    <row r="1" spans="1:26" ht="16.5" customHeight="1" x14ac:dyDescent="0.3">
      <c r="A1" s="34" t="s">
        <v>183</v>
      </c>
      <c r="B1" s="35" t="s">
        <v>184</v>
      </c>
      <c r="C1" s="35"/>
      <c r="D1" s="35"/>
      <c r="E1" s="35"/>
      <c r="F1" s="35"/>
      <c r="G1" s="36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" customHeight="1" x14ac:dyDescent="0.3">
      <c r="A2" s="38" t="s">
        <v>27</v>
      </c>
      <c r="B2" s="39" t="s">
        <v>28</v>
      </c>
      <c r="C2" s="39" t="s">
        <v>29</v>
      </c>
      <c r="D2" s="39" t="s">
        <v>30</v>
      </c>
      <c r="E2" s="39" t="s">
        <v>31</v>
      </c>
      <c r="F2" s="40" t="s">
        <v>32</v>
      </c>
      <c r="G2" s="41" t="s">
        <v>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" customHeight="1" x14ac:dyDescent="0.3">
      <c r="A3" s="42"/>
      <c r="B3" s="43" t="s">
        <v>185</v>
      </c>
      <c r="C3" s="43"/>
      <c r="D3" s="43"/>
      <c r="E3" s="43"/>
      <c r="F3" s="43"/>
      <c r="G3" s="44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5" x14ac:dyDescent="0.3">
      <c r="A4" s="45" t="s">
        <v>186</v>
      </c>
      <c r="B4" s="46" t="s">
        <v>187</v>
      </c>
      <c r="C4" s="46" t="s">
        <v>62</v>
      </c>
      <c r="D4" s="12">
        <v>1</v>
      </c>
      <c r="E4" s="47">
        <v>2500</v>
      </c>
      <c r="F4" s="48">
        <v>2500</v>
      </c>
      <c r="G4" s="49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30.75" customHeight="1" x14ac:dyDescent="0.3">
      <c r="A5" s="45" t="s">
        <v>188</v>
      </c>
      <c r="B5" s="46" t="s">
        <v>189</v>
      </c>
      <c r="C5" s="46" t="s">
        <v>62</v>
      </c>
      <c r="D5" s="12">
        <v>1</v>
      </c>
      <c r="E5" s="47">
        <v>2000</v>
      </c>
      <c r="F5" s="48">
        <v>2000</v>
      </c>
      <c r="G5" s="4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6.5" customHeight="1" x14ac:dyDescent="0.3">
      <c r="A6" s="45" t="s">
        <v>190</v>
      </c>
      <c r="B6" s="46" t="s">
        <v>191</v>
      </c>
      <c r="C6" s="46" t="s">
        <v>62</v>
      </c>
      <c r="D6" s="12">
        <v>1</v>
      </c>
      <c r="E6" s="47">
        <v>1500</v>
      </c>
      <c r="F6" s="48">
        <v>1500</v>
      </c>
      <c r="G6" s="4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5" x14ac:dyDescent="0.3">
      <c r="A7" s="45" t="s">
        <v>192</v>
      </c>
      <c r="B7" s="46" t="s">
        <v>193</v>
      </c>
      <c r="C7" s="46" t="s">
        <v>62</v>
      </c>
      <c r="D7" s="12">
        <v>1</v>
      </c>
      <c r="E7" s="47">
        <v>1500</v>
      </c>
      <c r="F7" s="48">
        <v>1500</v>
      </c>
      <c r="G7" s="4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" customHeight="1" x14ac:dyDescent="0.3">
      <c r="A8" s="66" t="s">
        <v>194</v>
      </c>
      <c r="B8" s="67" t="s">
        <v>195</v>
      </c>
      <c r="C8" s="67" t="s">
        <v>196</v>
      </c>
      <c r="D8" s="68">
        <v>1</v>
      </c>
      <c r="E8" s="69">
        <v>1250</v>
      </c>
      <c r="F8" s="48">
        <v>1250</v>
      </c>
      <c r="G8" s="7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5" x14ac:dyDescent="0.3">
      <c r="A9" s="71"/>
      <c r="B9" s="72" t="s">
        <v>197</v>
      </c>
      <c r="C9" s="72"/>
      <c r="D9" s="72"/>
      <c r="E9" s="72"/>
      <c r="F9" s="72"/>
      <c r="G9" s="7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5" x14ac:dyDescent="0.3">
      <c r="A10" s="45" t="s">
        <v>198</v>
      </c>
      <c r="B10" s="46" t="s">
        <v>199</v>
      </c>
      <c r="C10" s="12" t="s">
        <v>62</v>
      </c>
      <c r="D10" s="12">
        <v>1</v>
      </c>
      <c r="E10" s="48">
        <v>4900</v>
      </c>
      <c r="F10" s="48">
        <v>4900</v>
      </c>
      <c r="G10" s="50" t="s">
        <v>200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5" hidden="1" x14ac:dyDescent="0.3">
      <c r="A11" s="45" t="s">
        <v>201</v>
      </c>
      <c r="B11" s="46" t="s">
        <v>202</v>
      </c>
      <c r="C11" s="12" t="s">
        <v>62</v>
      </c>
      <c r="D11" s="12"/>
      <c r="E11" s="48"/>
      <c r="F11" s="48">
        <f t="shared" ref="F11" si="0">E11*D11</f>
        <v>0</v>
      </c>
      <c r="G11" s="5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5" x14ac:dyDescent="0.3">
      <c r="A12" s="45" t="s">
        <v>419</v>
      </c>
      <c r="B12" s="46" t="s">
        <v>420</v>
      </c>
      <c r="C12" s="12"/>
      <c r="D12" s="12">
        <v>1</v>
      </c>
      <c r="E12" s="48">
        <v>2500</v>
      </c>
      <c r="F12" s="48">
        <v>2500</v>
      </c>
      <c r="G12" s="129" t="s">
        <v>438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5" x14ac:dyDescent="0.3">
      <c r="A13" s="45" t="s">
        <v>203</v>
      </c>
      <c r="B13" s="116" t="s">
        <v>422</v>
      </c>
      <c r="C13" s="12" t="s">
        <v>62</v>
      </c>
      <c r="D13" s="12">
        <v>1</v>
      </c>
      <c r="E13" s="48">
        <v>2500</v>
      </c>
      <c r="F13" s="48">
        <v>2500</v>
      </c>
      <c r="G13" s="129" t="s">
        <v>441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5" customHeight="1" x14ac:dyDescent="0.3">
      <c r="A14" s="45" t="s">
        <v>206</v>
      </c>
      <c r="B14" s="46" t="s">
        <v>207</v>
      </c>
      <c r="C14" s="12" t="s">
        <v>62</v>
      </c>
      <c r="D14" s="12">
        <v>1</v>
      </c>
      <c r="E14" s="48">
        <v>2500</v>
      </c>
      <c r="F14" s="48">
        <v>2500</v>
      </c>
      <c r="G14" s="50" t="s">
        <v>396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5" customHeight="1" x14ac:dyDescent="0.3">
      <c r="A15" s="71"/>
      <c r="B15" s="72" t="s">
        <v>428</v>
      </c>
      <c r="C15" s="72"/>
      <c r="D15" s="72"/>
      <c r="E15" s="72"/>
      <c r="F15" s="72"/>
      <c r="G15" s="73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5" x14ac:dyDescent="0.3">
      <c r="A16" s="45" t="s">
        <v>209</v>
      </c>
      <c r="B16" s="46" t="s">
        <v>210</v>
      </c>
      <c r="C16" s="12" t="s">
        <v>62</v>
      </c>
      <c r="D16" s="12">
        <v>1</v>
      </c>
      <c r="E16" s="48">
        <v>4900</v>
      </c>
      <c r="F16" s="48">
        <v>4900</v>
      </c>
      <c r="G16" s="50" t="s">
        <v>200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hidden="1" customHeight="1" x14ac:dyDescent="0.3">
      <c r="A17" s="45" t="s">
        <v>211</v>
      </c>
      <c r="B17" s="46" t="s">
        <v>202</v>
      </c>
      <c r="C17" s="12" t="s">
        <v>62</v>
      </c>
      <c r="D17" s="12"/>
      <c r="E17" s="48"/>
      <c r="F17" s="48">
        <f t="shared" ref="F17:F19" si="1">E17*D17</f>
        <v>0</v>
      </c>
      <c r="G17" s="5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5" customHeight="1" x14ac:dyDescent="0.3">
      <c r="A18" s="45" t="s">
        <v>212</v>
      </c>
      <c r="B18" s="95" t="s">
        <v>421</v>
      </c>
      <c r="C18" s="12" t="s">
        <v>62</v>
      </c>
      <c r="D18" s="12">
        <v>1</v>
      </c>
      <c r="E18" s="48">
        <v>2500</v>
      </c>
      <c r="F18" s="48">
        <v>2500</v>
      </c>
      <c r="G18" s="129" t="s">
        <v>441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3" hidden="1" customHeight="1" x14ac:dyDescent="0.3">
      <c r="A19" s="45" t="s">
        <v>213</v>
      </c>
      <c r="B19" s="95" t="s">
        <v>207</v>
      </c>
      <c r="C19" s="12" t="s">
        <v>62</v>
      </c>
      <c r="D19" s="12">
        <v>0</v>
      </c>
      <c r="E19" s="48"/>
      <c r="F19" s="48">
        <f t="shared" si="1"/>
        <v>0</v>
      </c>
      <c r="G19" s="50" t="s">
        <v>208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5" customHeight="1" x14ac:dyDescent="0.3">
      <c r="A20" s="45" t="s">
        <v>214</v>
      </c>
      <c r="B20" s="46" t="s">
        <v>215</v>
      </c>
      <c r="C20" s="12" t="s">
        <v>62</v>
      </c>
      <c r="D20" s="12">
        <v>1</v>
      </c>
      <c r="E20" s="48">
        <v>2500</v>
      </c>
      <c r="F20" s="48">
        <v>2500</v>
      </c>
      <c r="G20" s="5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5" hidden="1" customHeight="1" x14ac:dyDescent="0.3">
      <c r="A21" s="71"/>
      <c r="B21" s="72" t="s">
        <v>216</v>
      </c>
      <c r="C21" s="72"/>
      <c r="D21" s="72"/>
      <c r="E21" s="72"/>
      <c r="F21" s="72"/>
      <c r="G21" s="7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hidden="1" customHeight="1" x14ac:dyDescent="0.3">
      <c r="A22" s="45" t="s">
        <v>217</v>
      </c>
      <c r="B22" s="46" t="s">
        <v>199</v>
      </c>
      <c r="C22" s="12" t="s">
        <v>62</v>
      </c>
      <c r="D22" s="12"/>
      <c r="E22" s="48"/>
      <c r="F22" s="48">
        <f t="shared" ref="F22:F25" si="2">E22*D22</f>
        <v>0</v>
      </c>
      <c r="G22" s="50" t="s">
        <v>200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hidden="1" customHeight="1" x14ac:dyDescent="0.3">
      <c r="A23" s="45" t="s">
        <v>218</v>
      </c>
      <c r="B23" s="46" t="s">
        <v>202</v>
      </c>
      <c r="C23" s="12" t="s">
        <v>62</v>
      </c>
      <c r="D23" s="12"/>
      <c r="E23" s="48"/>
      <c r="F23" s="48">
        <f t="shared" si="2"/>
        <v>0</v>
      </c>
      <c r="G23" s="5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hidden="1" customHeight="1" x14ac:dyDescent="0.3">
      <c r="A24" s="45" t="s">
        <v>219</v>
      </c>
      <c r="B24" s="46" t="s">
        <v>204</v>
      </c>
      <c r="C24" s="12" t="s">
        <v>62</v>
      </c>
      <c r="D24" s="12"/>
      <c r="E24" s="48"/>
      <c r="F24" s="48">
        <f t="shared" si="2"/>
        <v>0</v>
      </c>
      <c r="G24" s="50" t="s">
        <v>205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hidden="1" customHeight="1" x14ac:dyDescent="0.3">
      <c r="A25" s="45" t="s">
        <v>220</v>
      </c>
      <c r="B25" s="46" t="s">
        <v>221</v>
      </c>
      <c r="C25" s="12"/>
      <c r="D25" s="12"/>
      <c r="E25" s="48"/>
      <c r="F25" s="48">
        <f t="shared" si="2"/>
        <v>0</v>
      </c>
      <c r="G25" s="5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71"/>
      <c r="B26" s="72" t="s">
        <v>222</v>
      </c>
      <c r="C26" s="72"/>
      <c r="D26" s="72"/>
      <c r="E26" s="72"/>
      <c r="F26" s="72"/>
      <c r="G26" s="73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hidden="1" customHeight="1" x14ac:dyDescent="0.3">
      <c r="A27" s="45" t="s">
        <v>223</v>
      </c>
      <c r="B27" s="46" t="s">
        <v>204</v>
      </c>
      <c r="C27" s="12" t="s">
        <v>62</v>
      </c>
      <c r="D27" s="12">
        <v>0</v>
      </c>
      <c r="E27" s="48"/>
      <c r="F27" s="48">
        <f t="shared" ref="F27" si="3">E27*D27</f>
        <v>0</v>
      </c>
      <c r="G27" s="5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45" t="s">
        <v>224</v>
      </c>
      <c r="B28" s="46" t="s">
        <v>225</v>
      </c>
      <c r="C28" s="12" t="s">
        <v>62</v>
      </c>
      <c r="D28" s="12">
        <v>1</v>
      </c>
      <c r="E28" s="48">
        <v>2500</v>
      </c>
      <c r="F28" s="48">
        <v>2500</v>
      </c>
      <c r="G28" s="5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45" t="s">
        <v>226</v>
      </c>
      <c r="B29" s="46" t="s">
        <v>227</v>
      </c>
      <c r="C29" s="12" t="s">
        <v>62</v>
      </c>
      <c r="D29" s="12">
        <v>1</v>
      </c>
      <c r="E29" s="48">
        <v>1500</v>
      </c>
      <c r="F29" s="48">
        <v>1500</v>
      </c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45" t="s">
        <v>228</v>
      </c>
      <c r="B30" s="46" t="s">
        <v>229</v>
      </c>
      <c r="C30" s="12" t="s">
        <v>62</v>
      </c>
      <c r="D30" s="12">
        <v>1</v>
      </c>
      <c r="E30" s="48">
        <v>2500</v>
      </c>
      <c r="F30" s="48">
        <v>2500</v>
      </c>
      <c r="G30" s="129" t="s">
        <v>440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71"/>
      <c r="B31" s="72" t="s">
        <v>15</v>
      </c>
      <c r="C31" s="72"/>
      <c r="D31" s="72"/>
      <c r="E31" s="72"/>
      <c r="F31" s="72"/>
      <c r="G31" s="73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45" t="s">
        <v>230</v>
      </c>
      <c r="B32" s="46" t="s">
        <v>231</v>
      </c>
      <c r="C32" s="12" t="s">
        <v>62</v>
      </c>
      <c r="D32" s="12">
        <v>1</v>
      </c>
      <c r="E32" s="48">
        <v>1500</v>
      </c>
      <c r="F32" s="48">
        <v>1500</v>
      </c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hidden="1" customHeight="1" x14ac:dyDescent="0.3">
      <c r="A33" s="45" t="s">
        <v>232</v>
      </c>
      <c r="B33" s="46" t="s">
        <v>233</v>
      </c>
      <c r="C33" s="12" t="s">
        <v>62</v>
      </c>
      <c r="D33" s="12">
        <v>1</v>
      </c>
      <c r="E33" s="48"/>
      <c r="F33" s="48">
        <f t="shared" ref="F33:F34" si="4">E33*D33</f>
        <v>0</v>
      </c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hidden="1" customHeight="1" x14ac:dyDescent="0.3">
      <c r="A34" s="45" t="s">
        <v>234</v>
      </c>
      <c r="B34" s="46" t="s">
        <v>235</v>
      </c>
      <c r="C34" s="12" t="s">
        <v>62</v>
      </c>
      <c r="D34" s="12">
        <v>1</v>
      </c>
      <c r="E34" s="48"/>
      <c r="F34" s="48">
        <f t="shared" si="4"/>
        <v>0</v>
      </c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97" t="s">
        <v>190</v>
      </c>
      <c r="B35" s="98" t="s">
        <v>195</v>
      </c>
      <c r="C35" s="12" t="s">
        <v>62</v>
      </c>
      <c r="D35" s="12">
        <v>1</v>
      </c>
      <c r="E35" s="101">
        <v>1250</v>
      </c>
      <c r="F35" s="48">
        <v>1250</v>
      </c>
      <c r="G35" s="121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74"/>
      <c r="B36" s="75" t="s">
        <v>236</v>
      </c>
      <c r="C36" s="75"/>
      <c r="D36" s="75"/>
      <c r="E36" s="75"/>
      <c r="F36" s="63">
        <f>SUM(F4:F35)</f>
        <v>40300</v>
      </c>
      <c r="G36" s="7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78"/>
      <c r="B37" s="7"/>
      <c r="C37" s="7"/>
      <c r="D37" s="7"/>
      <c r="E37" s="7"/>
      <c r="F37" s="7"/>
      <c r="G37" s="6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77" t="s">
        <v>237</v>
      </c>
      <c r="B38" s="7"/>
      <c r="C38" s="79"/>
      <c r="D38" s="79"/>
      <c r="E38" s="80"/>
      <c r="F38" s="80"/>
      <c r="G38" s="7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7" t="s">
        <v>238</v>
      </c>
      <c r="B39" s="7"/>
      <c r="C39" s="79"/>
      <c r="D39" s="79"/>
      <c r="E39" s="80"/>
      <c r="F39" s="80"/>
      <c r="G39" s="7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" t="s">
        <v>239</v>
      </c>
      <c r="B40" s="7"/>
      <c r="C40" s="81"/>
      <c r="D40" s="79"/>
      <c r="E40" s="79"/>
      <c r="F40" s="82"/>
      <c r="G40" s="7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 t="s">
        <v>240</v>
      </c>
      <c r="B41" s="7"/>
      <c r="C41" s="79"/>
      <c r="D41" s="79"/>
      <c r="E41" s="79"/>
      <c r="F41" s="79"/>
      <c r="G41" s="7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7" t="s">
        <v>241</v>
      </c>
      <c r="B42" s="7"/>
      <c r="C42" s="83"/>
      <c r="D42" s="83"/>
      <c r="E42" s="83"/>
      <c r="F42" s="83"/>
      <c r="G42" s="83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7" t="s">
        <v>242</v>
      </c>
      <c r="B43" s="7"/>
      <c r="C43" s="83"/>
      <c r="D43" s="83"/>
      <c r="E43" s="83"/>
      <c r="F43" s="83"/>
      <c r="G43" s="83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 t="s">
        <v>243</v>
      </c>
      <c r="B44" s="7"/>
      <c r="C44" s="79"/>
      <c r="D44" s="79"/>
      <c r="E44" s="79"/>
      <c r="F44" s="79"/>
      <c r="G44" s="7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77" t="s">
        <v>456</v>
      </c>
      <c r="B45" s="7"/>
      <c r="C45" s="79"/>
      <c r="D45" s="79"/>
      <c r="E45" s="79"/>
      <c r="F45" s="79"/>
      <c r="G45" s="7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112" t="s">
        <v>424</v>
      </c>
      <c r="B46" s="7"/>
      <c r="C46" s="79"/>
      <c r="D46" s="79"/>
      <c r="E46" s="79"/>
      <c r="F46" s="79"/>
      <c r="G46" s="7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7" t="s">
        <v>244</v>
      </c>
      <c r="B47" s="7"/>
      <c r="C47" s="79"/>
      <c r="D47" s="79"/>
      <c r="E47" s="79"/>
      <c r="F47" s="79"/>
      <c r="G47" s="7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112" t="s">
        <v>425</v>
      </c>
      <c r="B48" s="7"/>
      <c r="C48" s="79"/>
      <c r="D48" s="79"/>
      <c r="E48" s="79"/>
      <c r="F48" s="79"/>
      <c r="G48" s="7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126" t="s">
        <v>452</v>
      </c>
      <c r="B49" s="7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6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6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6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6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6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6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6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6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6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6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6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6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6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6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6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6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6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6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6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6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6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6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6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6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6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6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6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6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6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6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6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6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6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6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6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6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6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6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6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6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6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6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6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6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6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6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6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6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6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6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6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6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6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6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6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6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6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6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6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6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6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6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6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6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6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6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6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6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6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6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6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6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6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6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6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6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6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6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6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6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6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6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6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6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6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6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6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6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6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6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6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6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6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6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6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6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6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6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6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6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6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6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6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6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6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6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6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6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6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6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6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6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6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6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6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6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6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6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6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6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6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6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6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6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6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6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6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6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6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6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6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6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6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6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6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6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6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6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6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6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6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6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6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6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6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6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6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6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6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6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6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6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6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6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6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6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6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6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6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6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6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6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6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6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6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6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6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6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6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6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6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6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6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6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6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6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6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6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6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6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6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6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6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6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6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6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6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6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6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6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6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6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6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6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6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6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6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6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6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6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6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6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6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6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6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6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6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6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6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6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6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6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6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6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6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6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6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6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6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6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6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6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6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6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6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6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6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6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6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6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6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6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6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6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6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6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6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6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6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6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6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6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6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6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6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6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6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6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6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6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6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6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6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6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6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6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6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6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6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6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6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6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6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6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6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6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6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6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6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6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6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6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6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6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6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6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6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6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6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6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6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6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6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6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6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6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6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6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6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6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6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6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6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6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6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6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6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6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6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6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6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6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6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6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6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6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6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6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6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6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6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6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6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6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6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6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6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6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6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6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6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6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6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6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6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6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6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6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6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6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6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6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6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6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6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6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6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6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6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6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6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6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6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6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6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6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6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6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6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6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6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6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6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6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6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6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6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6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6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6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6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6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6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6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6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6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6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6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6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6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6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6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6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6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6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6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6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6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6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6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6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6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6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6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6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6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6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6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6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6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6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6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6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6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6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6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6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6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6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6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6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6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6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6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6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6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6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6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6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6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6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6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6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6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6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6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6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6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6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6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6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6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6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6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6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6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6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6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6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6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6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6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6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6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6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6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6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6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6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6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6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6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6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6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6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6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6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6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6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6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6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6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6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6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6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6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6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6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6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6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6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6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6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6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6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6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6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6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6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6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6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6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6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6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6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6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6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6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6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6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6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6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6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6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6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6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6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6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6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6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6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6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6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6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6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6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6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6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6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6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6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6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6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6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6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6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6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6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6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6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6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6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6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6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6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6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6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6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6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6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6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6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6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6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6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6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6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6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6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6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6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6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6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6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6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6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6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6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6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6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6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6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6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6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6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6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6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6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6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6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6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6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6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6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6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6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6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6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6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6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6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6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6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6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6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6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6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6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6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6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6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6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6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6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6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6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6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6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6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6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6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6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6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6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6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6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6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6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6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6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6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6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6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6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6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6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6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6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6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6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6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6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6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6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6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6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6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6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6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6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6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6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6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6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6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6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6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6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6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6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6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6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6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6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6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6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6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6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6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6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6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6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6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6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6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6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6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6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6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6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6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6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6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6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6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6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6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6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6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6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6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6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6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6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6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6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6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6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6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6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6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6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6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6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6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6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6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6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6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6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6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6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6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6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6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6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6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6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6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6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6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6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6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6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6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6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6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6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6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6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6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6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6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6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6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6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6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6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6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6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6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6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6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6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6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6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6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6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6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6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6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6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6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6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6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6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6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6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6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6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6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6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6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6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6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6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6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6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6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6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6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6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6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6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6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6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6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6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6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6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6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6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6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6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6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6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6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6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6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6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6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6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 x14ac:dyDescent="0.3">
      <c r="A1001" s="7"/>
      <c r="B1001" s="7"/>
      <c r="C1001" s="7"/>
      <c r="D1001" s="7"/>
      <c r="E1001" s="7"/>
      <c r="F1001" s="7"/>
      <c r="G1001" s="65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 x14ac:dyDescent="0.3">
      <c r="A1002" s="7"/>
      <c r="B1002" s="7"/>
      <c r="C1002" s="7"/>
      <c r="D1002" s="7"/>
      <c r="E1002" s="7"/>
      <c r="F1002" s="7"/>
      <c r="G1002" s="65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pageMargins left="0.31496062992125984" right="0.31496062992125984" top="0.55118110236220474" bottom="0.35433070866141736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rightToLeft="1" tabSelected="1" topLeftCell="B21" workbookViewId="0">
      <selection activeCell="F37" sqref="F37"/>
    </sheetView>
  </sheetViews>
  <sheetFormatPr defaultColWidth="14.3984375" defaultRowHeight="15" customHeight="1" x14ac:dyDescent="0.3"/>
  <cols>
    <col min="1" max="1" width="6" customWidth="1"/>
    <col min="2" max="2" width="90.5" bestFit="1" customWidth="1"/>
    <col min="3" max="3" width="8" customWidth="1"/>
    <col min="4" max="4" width="6.59765625" customWidth="1"/>
    <col min="5" max="5" width="9.59765625" customWidth="1"/>
    <col min="6" max="6" width="11.3984375" bestFit="1" customWidth="1"/>
    <col min="7" max="7" width="35" customWidth="1"/>
    <col min="8" max="8" width="9" customWidth="1"/>
    <col min="9" max="9" width="29.09765625" customWidth="1"/>
    <col min="10" max="26" width="9" customWidth="1"/>
  </cols>
  <sheetData>
    <row r="1" spans="1:26" ht="16.5" customHeight="1" x14ac:dyDescent="0.3">
      <c r="A1" s="34" t="s">
        <v>245</v>
      </c>
      <c r="B1" s="35" t="s">
        <v>246</v>
      </c>
      <c r="C1" s="35"/>
      <c r="D1" s="35"/>
      <c r="E1" s="35"/>
      <c r="F1" s="35"/>
      <c r="G1" s="36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" customHeight="1" x14ac:dyDescent="0.3">
      <c r="A2" s="38" t="s">
        <v>27</v>
      </c>
      <c r="B2" s="39" t="s">
        <v>28</v>
      </c>
      <c r="C2" s="39" t="s">
        <v>29</v>
      </c>
      <c r="D2" s="39" t="s">
        <v>30</v>
      </c>
      <c r="E2" s="39" t="s">
        <v>31</v>
      </c>
      <c r="F2" s="40" t="s">
        <v>32</v>
      </c>
      <c r="G2" s="41" t="s">
        <v>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" customHeight="1" x14ac:dyDescent="0.3">
      <c r="A3" s="42"/>
      <c r="B3" s="43" t="s">
        <v>247</v>
      </c>
      <c r="C3" s="43"/>
      <c r="D3" s="43"/>
      <c r="E3" s="43"/>
      <c r="F3" s="43"/>
      <c r="G3" s="44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31" x14ac:dyDescent="0.3">
      <c r="A4" s="45" t="s">
        <v>248</v>
      </c>
      <c r="B4" s="46" t="s">
        <v>403</v>
      </c>
      <c r="C4" s="46" t="s">
        <v>36</v>
      </c>
      <c r="D4" s="12">
        <v>60</v>
      </c>
      <c r="E4" s="47">
        <v>330</v>
      </c>
      <c r="F4" s="48">
        <f>D4*E4</f>
        <v>19800</v>
      </c>
      <c r="G4" s="49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31" x14ac:dyDescent="0.3">
      <c r="A5" s="45" t="s">
        <v>250</v>
      </c>
      <c r="B5" s="46" t="s">
        <v>405</v>
      </c>
      <c r="C5" s="46" t="s">
        <v>36</v>
      </c>
      <c r="D5" s="12">
        <v>13</v>
      </c>
      <c r="E5" s="47">
        <v>330</v>
      </c>
      <c r="F5" s="48">
        <f>D5*E5</f>
        <v>4290</v>
      </c>
      <c r="G5" s="4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hidden="1" customHeight="1" x14ac:dyDescent="0.3">
      <c r="A6" s="45" t="s">
        <v>251</v>
      </c>
      <c r="B6" s="46" t="s">
        <v>252</v>
      </c>
      <c r="C6" s="46" t="s">
        <v>36</v>
      </c>
      <c r="D6" s="12"/>
      <c r="E6" s="47"/>
      <c r="F6" s="48">
        <f t="shared" ref="F6:F17" si="0">E6*D6</f>
        <v>0</v>
      </c>
      <c r="G6" s="49" t="s">
        <v>249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5" hidden="1" x14ac:dyDescent="0.3">
      <c r="A7" s="45" t="s">
        <v>253</v>
      </c>
      <c r="B7" s="46" t="s">
        <v>254</v>
      </c>
      <c r="C7" s="46" t="s">
        <v>36</v>
      </c>
      <c r="D7" s="12"/>
      <c r="E7" s="47"/>
      <c r="F7" s="48">
        <f t="shared" si="0"/>
        <v>0</v>
      </c>
      <c r="G7" s="49" t="s">
        <v>249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5" x14ac:dyDescent="0.3">
      <c r="A8" s="45" t="s">
        <v>255</v>
      </c>
      <c r="B8" s="46" t="s">
        <v>404</v>
      </c>
      <c r="C8" s="46" t="s">
        <v>36</v>
      </c>
      <c r="D8" s="12">
        <v>36</v>
      </c>
      <c r="E8" s="47">
        <v>330</v>
      </c>
      <c r="F8" s="48">
        <f>D8*E8</f>
        <v>11880</v>
      </c>
      <c r="G8" s="4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5" hidden="1" x14ac:dyDescent="0.3">
      <c r="A9" s="45" t="s">
        <v>256</v>
      </c>
      <c r="B9" s="12" t="s">
        <v>257</v>
      </c>
      <c r="C9" s="12" t="s">
        <v>36</v>
      </c>
      <c r="D9" s="12"/>
      <c r="E9" s="48"/>
      <c r="F9" s="48">
        <f t="shared" si="0"/>
        <v>0</v>
      </c>
      <c r="G9" s="5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5" hidden="1" x14ac:dyDescent="0.3">
      <c r="A10" s="45" t="s">
        <v>258</v>
      </c>
      <c r="B10" s="12" t="s">
        <v>259</v>
      </c>
      <c r="C10" s="12" t="s">
        <v>36</v>
      </c>
      <c r="D10" s="12"/>
      <c r="E10" s="48"/>
      <c r="F10" s="48">
        <f t="shared" si="0"/>
        <v>0</v>
      </c>
      <c r="G10" s="5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1" hidden="1" x14ac:dyDescent="0.3">
      <c r="A11" s="45" t="s">
        <v>260</v>
      </c>
      <c r="B11" s="46" t="s">
        <v>261</v>
      </c>
      <c r="C11" s="46" t="s">
        <v>53</v>
      </c>
      <c r="D11" s="12"/>
      <c r="E11" s="47"/>
      <c r="F11" s="48">
        <f t="shared" si="0"/>
        <v>0</v>
      </c>
      <c r="G11" s="5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1" hidden="1" x14ac:dyDescent="0.3">
      <c r="A12" s="45" t="s">
        <v>262</v>
      </c>
      <c r="B12" s="46" t="s">
        <v>263</v>
      </c>
      <c r="C12" s="46" t="s">
        <v>53</v>
      </c>
      <c r="D12" s="12"/>
      <c r="E12" s="47"/>
      <c r="F12" s="48">
        <f t="shared" si="0"/>
        <v>0</v>
      </c>
      <c r="G12" s="50" t="s">
        <v>264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" customHeight="1" x14ac:dyDescent="0.3">
      <c r="A13" s="45" t="s">
        <v>265</v>
      </c>
      <c r="B13" s="95" t="s">
        <v>426</v>
      </c>
      <c r="C13" s="46" t="s">
        <v>70</v>
      </c>
      <c r="D13" s="12"/>
      <c r="E13" s="47"/>
      <c r="F13" s="48">
        <v>3000</v>
      </c>
      <c r="G13" s="5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1" x14ac:dyDescent="0.3">
      <c r="A14" s="45" t="s">
        <v>266</v>
      </c>
      <c r="B14" s="46" t="s">
        <v>267</v>
      </c>
      <c r="C14" s="46"/>
      <c r="D14" s="12"/>
      <c r="E14" s="47"/>
      <c r="F14" s="48">
        <f t="shared" si="0"/>
        <v>0</v>
      </c>
      <c r="G14" s="5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5" hidden="1" x14ac:dyDescent="0.3">
      <c r="A15" s="45" t="s">
        <v>268</v>
      </c>
      <c r="B15" s="46" t="s">
        <v>269</v>
      </c>
      <c r="C15" s="46" t="s">
        <v>36</v>
      </c>
      <c r="D15" s="12"/>
      <c r="E15" s="47"/>
      <c r="F15" s="48">
        <f t="shared" si="0"/>
        <v>0</v>
      </c>
      <c r="G15" s="50" t="s">
        <v>270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45" t="s">
        <v>271</v>
      </c>
      <c r="B16" s="46" t="s">
        <v>272</v>
      </c>
      <c r="C16" s="46" t="s">
        <v>53</v>
      </c>
      <c r="D16" s="12"/>
      <c r="E16" s="47"/>
      <c r="F16" s="48">
        <v>2000</v>
      </c>
      <c r="G16" s="129" t="s">
        <v>443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1" hidden="1" x14ac:dyDescent="0.3">
      <c r="A17" s="45" t="s">
        <v>273</v>
      </c>
      <c r="B17" s="46" t="s">
        <v>274</v>
      </c>
      <c r="C17" s="46"/>
      <c r="D17" s="12"/>
      <c r="E17" s="47"/>
      <c r="F17" s="48">
        <f t="shared" si="0"/>
        <v>0</v>
      </c>
      <c r="G17" s="5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46.5" x14ac:dyDescent="0.3">
      <c r="A18" s="66" t="s">
        <v>275</v>
      </c>
      <c r="B18" s="67" t="s">
        <v>276</v>
      </c>
      <c r="C18" s="67" t="s">
        <v>53</v>
      </c>
      <c r="D18" s="68"/>
      <c r="E18" s="69"/>
      <c r="F18" s="84"/>
      <c r="G18" s="131" t="s">
        <v>444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 x14ac:dyDescent="0.3">
      <c r="A19" s="71"/>
      <c r="B19" s="72" t="s">
        <v>277</v>
      </c>
      <c r="C19" s="72"/>
      <c r="D19" s="72"/>
      <c r="E19" s="72"/>
      <c r="F19" s="72"/>
      <c r="G19" s="73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.75" customHeight="1" x14ac:dyDescent="0.3">
      <c r="A20" s="45" t="s">
        <v>278</v>
      </c>
      <c r="B20" s="46" t="s">
        <v>445</v>
      </c>
      <c r="C20" s="46" t="s">
        <v>36</v>
      </c>
      <c r="D20" s="12">
        <v>11</v>
      </c>
      <c r="E20" s="47">
        <v>330</v>
      </c>
      <c r="F20" s="48">
        <f>D20*E20</f>
        <v>3630</v>
      </c>
      <c r="G20" s="5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7.25" customHeight="1" x14ac:dyDescent="0.3">
      <c r="A21" s="45" t="s">
        <v>279</v>
      </c>
      <c r="B21" s="46" t="s">
        <v>409</v>
      </c>
      <c r="C21" s="46" t="s">
        <v>36</v>
      </c>
      <c r="D21" s="12">
        <v>18</v>
      </c>
      <c r="E21" s="47">
        <v>330</v>
      </c>
      <c r="F21" s="48">
        <f>D21*E21</f>
        <v>5940</v>
      </c>
      <c r="G21" s="5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.75" hidden="1" customHeight="1" x14ac:dyDescent="0.3">
      <c r="A22" s="45" t="s">
        <v>280</v>
      </c>
      <c r="B22" s="46" t="s">
        <v>281</v>
      </c>
      <c r="C22" s="46" t="s">
        <v>36</v>
      </c>
      <c r="D22" s="12"/>
      <c r="E22" s="47"/>
      <c r="F22" s="48">
        <f t="shared" ref="F22:F24" si="1">E22*D22</f>
        <v>0</v>
      </c>
      <c r="G22" s="5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45" t="s">
        <v>282</v>
      </c>
      <c r="B23" s="46" t="s">
        <v>427</v>
      </c>
      <c r="C23" s="46" t="s">
        <v>36</v>
      </c>
      <c r="D23" s="12">
        <v>3</v>
      </c>
      <c r="E23" s="47">
        <v>500</v>
      </c>
      <c r="F23" s="48">
        <f>D23*E23</f>
        <v>1500</v>
      </c>
      <c r="G23" s="129" t="s">
        <v>438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7.25" hidden="1" customHeight="1" x14ac:dyDescent="0.3">
      <c r="A24" s="45" t="s">
        <v>283</v>
      </c>
      <c r="B24" s="46" t="s">
        <v>284</v>
      </c>
      <c r="C24" s="46" t="s">
        <v>70</v>
      </c>
      <c r="D24" s="12"/>
      <c r="E24" s="47"/>
      <c r="F24" s="48">
        <f t="shared" si="1"/>
        <v>0</v>
      </c>
      <c r="G24" s="5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hidden="1" customHeight="1" x14ac:dyDescent="0.3">
      <c r="A25" s="71"/>
      <c r="B25" s="72" t="s">
        <v>285</v>
      </c>
      <c r="C25" s="72"/>
      <c r="D25" s="72"/>
      <c r="E25" s="72"/>
      <c r="F25" s="72"/>
      <c r="G25" s="73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0.25" hidden="1" customHeight="1" x14ac:dyDescent="0.3">
      <c r="A26" s="45" t="s">
        <v>286</v>
      </c>
      <c r="B26" s="46" t="s">
        <v>287</v>
      </c>
      <c r="C26" s="46" t="s">
        <v>36</v>
      </c>
      <c r="D26" s="12"/>
      <c r="E26" s="47"/>
      <c r="F26" s="48">
        <f t="shared" ref="F26:F30" si="2">E26*D26</f>
        <v>0</v>
      </c>
      <c r="G26" s="50" t="s">
        <v>288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hidden="1" customHeight="1" x14ac:dyDescent="0.3">
      <c r="A27" s="45" t="s">
        <v>289</v>
      </c>
      <c r="B27" s="46" t="s">
        <v>290</v>
      </c>
      <c r="C27" s="46" t="s">
        <v>70</v>
      </c>
      <c r="D27" s="12"/>
      <c r="E27" s="47"/>
      <c r="F27" s="48">
        <f t="shared" si="2"/>
        <v>0</v>
      </c>
      <c r="G27" s="50" t="s">
        <v>291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hidden="1" customHeight="1" x14ac:dyDescent="0.3">
      <c r="A28" s="45" t="s">
        <v>292</v>
      </c>
      <c r="B28" s="46" t="s">
        <v>293</v>
      </c>
      <c r="C28" s="46" t="s">
        <v>70</v>
      </c>
      <c r="D28" s="12"/>
      <c r="E28" s="47"/>
      <c r="F28" s="48">
        <f t="shared" si="2"/>
        <v>0</v>
      </c>
      <c r="G28" s="5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hidden="1" customHeight="1" x14ac:dyDescent="0.3">
      <c r="A29" s="45" t="s">
        <v>294</v>
      </c>
      <c r="B29" s="46" t="s">
        <v>295</v>
      </c>
      <c r="C29" s="46" t="s">
        <v>296</v>
      </c>
      <c r="D29" s="12"/>
      <c r="E29" s="47"/>
      <c r="F29" s="48">
        <f t="shared" si="2"/>
        <v>0</v>
      </c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hidden="1" customHeight="1" x14ac:dyDescent="0.3">
      <c r="A30" s="45" t="s">
        <v>297</v>
      </c>
      <c r="B30" s="46" t="s">
        <v>298</v>
      </c>
      <c r="C30" s="46" t="s">
        <v>70</v>
      </c>
      <c r="D30" s="12"/>
      <c r="E30" s="47"/>
      <c r="F30" s="48">
        <f t="shared" si="2"/>
        <v>0</v>
      </c>
      <c r="G30" s="50" t="s">
        <v>288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60"/>
      <c r="B31" s="61" t="s">
        <v>299</v>
      </c>
      <c r="C31" s="61"/>
      <c r="D31" s="62"/>
      <c r="E31" s="62"/>
      <c r="F31" s="63">
        <f>SUM(F4:F30)</f>
        <v>52040</v>
      </c>
      <c r="G31" s="64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7"/>
      <c r="B32" s="7"/>
      <c r="C32" s="7"/>
      <c r="D32" s="7"/>
      <c r="E32" s="7"/>
      <c r="F32" s="7"/>
      <c r="G32" s="8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86" t="s">
        <v>91</v>
      </c>
      <c r="B33" s="7"/>
      <c r="C33" s="87"/>
      <c r="D33" s="79"/>
      <c r="E33" s="88"/>
      <c r="F33" s="80"/>
      <c r="G33" s="79"/>
      <c r="H33" s="79"/>
      <c r="I33" s="7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hidden="1" customHeight="1" x14ac:dyDescent="0.3">
      <c r="A34" s="79" t="s">
        <v>300</v>
      </c>
      <c r="B34" s="7"/>
      <c r="C34" s="87"/>
      <c r="D34" s="79"/>
      <c r="E34" s="88"/>
      <c r="F34" s="80"/>
      <c r="G34" s="79"/>
      <c r="H34" s="79"/>
      <c r="I34" s="7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79" t="s">
        <v>301</v>
      </c>
      <c r="B35" s="7"/>
      <c r="C35" s="87"/>
      <c r="D35" s="79"/>
      <c r="E35" s="88"/>
      <c r="F35" s="80"/>
      <c r="G35" s="79"/>
      <c r="H35" s="79"/>
      <c r="I35" s="7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79" t="s">
        <v>302</v>
      </c>
      <c r="B36" s="7"/>
      <c r="C36" s="87"/>
      <c r="D36" s="79"/>
      <c r="E36" s="88"/>
      <c r="F36" s="80"/>
      <c r="G36" s="79"/>
      <c r="H36" s="79"/>
      <c r="I36" s="7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79" t="s">
        <v>303</v>
      </c>
      <c r="B37" s="7"/>
      <c r="C37" s="87"/>
      <c r="D37" s="79"/>
      <c r="E37" s="88"/>
      <c r="F37" s="80"/>
      <c r="G37" s="79"/>
      <c r="H37" s="79"/>
      <c r="I37" s="7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79" t="s">
        <v>304</v>
      </c>
      <c r="B38" s="7"/>
      <c r="C38" s="87"/>
      <c r="D38" s="79"/>
      <c r="E38" s="88"/>
      <c r="F38" s="80"/>
      <c r="G38" s="79"/>
      <c r="H38" s="79"/>
      <c r="I38" s="7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79" t="s">
        <v>305</v>
      </c>
      <c r="B39" s="7"/>
      <c r="C39" s="87"/>
      <c r="D39" s="79"/>
      <c r="E39" s="88"/>
      <c r="F39" s="80"/>
      <c r="G39" s="79"/>
      <c r="H39" s="79"/>
      <c r="I39" s="7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9" t="s">
        <v>306</v>
      </c>
      <c r="B40" s="7"/>
      <c r="C40" s="81"/>
      <c r="D40" s="79"/>
      <c r="E40" s="79"/>
      <c r="F40" s="82"/>
      <c r="G40" s="79"/>
      <c r="H40" s="79"/>
      <c r="I40" s="7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/>
      <c r="B41" s="126" t="s">
        <v>452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7"/>
      <c r="B46" s="3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7"/>
      <c r="B47" s="3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7"/>
      <c r="B48" s="3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7"/>
      <c r="B49" s="37" t="s">
        <v>435</v>
      </c>
      <c r="C49" s="7">
        <v>6000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6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6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6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6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6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6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6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6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6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6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6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6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6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6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6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6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6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6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6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6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6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6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6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6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6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6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6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6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6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6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6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6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6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6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6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6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6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6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6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6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6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6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6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6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6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6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6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6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6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6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6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6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6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6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6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6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6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6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6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6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6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6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6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6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6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6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6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6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6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6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6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6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6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6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6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6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6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6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6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6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6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6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6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6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6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6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6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6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6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6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6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6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6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6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6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6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6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6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6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6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6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6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6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6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6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6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6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6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6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6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6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6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6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6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6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6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6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6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6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6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6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6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6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6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6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6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6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6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6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6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6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6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6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6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6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6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6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6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6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6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6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6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6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6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6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6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6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6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6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6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6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6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6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6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6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6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6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6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6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6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6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6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6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6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6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6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6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6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6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6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6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6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6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6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6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6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6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6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6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6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6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6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6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6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6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6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6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6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6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6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6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6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6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6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6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6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6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6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6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6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6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6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6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6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6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6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6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6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6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6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6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6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6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6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6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6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6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6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6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6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6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6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6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6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6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6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6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6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6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6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6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6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6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6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6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6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6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6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6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6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6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6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6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6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6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6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6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6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6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6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6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6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6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6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6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6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6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6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6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6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6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6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6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6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6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6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6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6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6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6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6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6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6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6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6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6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6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6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6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6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6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6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6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6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6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6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6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6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6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6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6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6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6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6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6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6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6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6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6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6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6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6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6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6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6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6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6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6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6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6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6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6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6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6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6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6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6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6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6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6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6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6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6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6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6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6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6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6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6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6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6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6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6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6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6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6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6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6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6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6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6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6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6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6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6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6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6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6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6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6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6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6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6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6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6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6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6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6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6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6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6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6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6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6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6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6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6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6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6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6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6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6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6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6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6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6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6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6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6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6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6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6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6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6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6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6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6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6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6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6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6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6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6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6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6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6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6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6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6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6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6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6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6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6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6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6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6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6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6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6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6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6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6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6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6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6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6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6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6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6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6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6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6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6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6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6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6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6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6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6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6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6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6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6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6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6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6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6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6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6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6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6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6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6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6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6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6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6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6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6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6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6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6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6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6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6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6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6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6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6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6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6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6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6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6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6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6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6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6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6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6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6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6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6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6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6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6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6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6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6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6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6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6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6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6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6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6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6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6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6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6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6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6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6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6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6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6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6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6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6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6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6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6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6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6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6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6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6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6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6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6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6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6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6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6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6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6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6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6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6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6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6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6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6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6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6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6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6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6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6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6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6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6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6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6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6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6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6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6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6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6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6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6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6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6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6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6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6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6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6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6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6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6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6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6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6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6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6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6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6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6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6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6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6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6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6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6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6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6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6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6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6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6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6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6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6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6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6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6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6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6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6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6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6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6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6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6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6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6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6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6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6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6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6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6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6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6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6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6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6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6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6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6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6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6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6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6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6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6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6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6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6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6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6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6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6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6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6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6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6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6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6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6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6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6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6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6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6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6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6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6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6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6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6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6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6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6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6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6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6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6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6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6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6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6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6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6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6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6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6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6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6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6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6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6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6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6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6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6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6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6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6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6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6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6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6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6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6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6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6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6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6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6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6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6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6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6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6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6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6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6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6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6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6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6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6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6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6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6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6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6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6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6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6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6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6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6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6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6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6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6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6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6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6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6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6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6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6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6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6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6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6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6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6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6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6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6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6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6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6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6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6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6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6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6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6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6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6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6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6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6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6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6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6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6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6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6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6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6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6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6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6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6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6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6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6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6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6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6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6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6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6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6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6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6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6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6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6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6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6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31496062992125984" right="0.31496062992125984" top="0.35433070866141736" bottom="0.35433070866141736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9550-784B-4703-AC50-6204F6314669}">
  <dimension ref="A1"/>
  <sheetViews>
    <sheetView rightToLeft="1" workbookViewId="0"/>
  </sheetViews>
  <sheetFormatPr defaultRowHeight="13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8DCE-4546-495D-B508-6326E5C360ED}">
  <dimension ref="A1"/>
  <sheetViews>
    <sheetView rightToLeft="1" workbookViewId="0"/>
  </sheetViews>
  <sheetFormatPr defaultRowHeight="13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rightToLeft="1" topLeftCell="B1" workbookViewId="0">
      <selection activeCell="F5" sqref="F5"/>
    </sheetView>
  </sheetViews>
  <sheetFormatPr defaultColWidth="14.3984375" defaultRowHeight="15" customHeight="1" x14ac:dyDescent="0.3"/>
  <cols>
    <col min="1" max="1" width="6.59765625" customWidth="1"/>
    <col min="2" max="2" width="48.59765625" customWidth="1"/>
    <col min="3" max="3" width="8" customWidth="1"/>
    <col min="4" max="4" width="6.09765625" customWidth="1"/>
    <col min="5" max="5" width="9.59765625" customWidth="1"/>
    <col min="6" max="6" width="11.3984375" bestFit="1" customWidth="1"/>
    <col min="7" max="7" width="45.59765625" customWidth="1"/>
    <col min="8" max="8" width="9" customWidth="1"/>
    <col min="9" max="9" width="29.09765625" customWidth="1"/>
    <col min="10" max="26" width="9" customWidth="1"/>
  </cols>
  <sheetData>
    <row r="1" spans="1:26" ht="16.5" customHeight="1" x14ac:dyDescent="0.3">
      <c r="A1" s="34" t="s">
        <v>307</v>
      </c>
      <c r="B1" s="35" t="s">
        <v>308</v>
      </c>
      <c r="C1" s="35"/>
      <c r="D1" s="35"/>
      <c r="E1" s="35"/>
      <c r="F1" s="35"/>
      <c r="G1" s="36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5" customHeight="1" x14ac:dyDescent="0.3">
      <c r="A2" s="38" t="s">
        <v>27</v>
      </c>
      <c r="B2" s="39" t="s">
        <v>28</v>
      </c>
      <c r="C2" s="39" t="s">
        <v>29</v>
      </c>
      <c r="D2" s="39" t="s">
        <v>30</v>
      </c>
      <c r="E2" s="39" t="s">
        <v>31</v>
      </c>
      <c r="F2" s="40" t="s">
        <v>32</v>
      </c>
      <c r="G2" s="41" t="s">
        <v>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" customHeight="1" x14ac:dyDescent="0.3">
      <c r="A3" s="42"/>
      <c r="B3" s="43" t="s">
        <v>309</v>
      </c>
      <c r="C3" s="43"/>
      <c r="D3" s="43"/>
      <c r="E3" s="43"/>
      <c r="F3" s="43"/>
      <c r="G3" s="44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31" x14ac:dyDescent="0.3">
      <c r="A4" s="45" t="s">
        <v>125</v>
      </c>
      <c r="B4" s="46" t="s">
        <v>310</v>
      </c>
      <c r="C4" s="46" t="s">
        <v>53</v>
      </c>
      <c r="D4" s="12"/>
      <c r="E4" s="47"/>
      <c r="F4" s="48">
        <v>12000</v>
      </c>
      <c r="G4" s="49" t="s">
        <v>311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31" x14ac:dyDescent="0.3">
      <c r="A5" s="45" t="s">
        <v>127</v>
      </c>
      <c r="B5" s="46" t="s">
        <v>312</v>
      </c>
      <c r="C5" s="46" t="s">
        <v>53</v>
      </c>
      <c r="D5" s="12"/>
      <c r="E5" s="47"/>
      <c r="F5" s="48">
        <v>6000</v>
      </c>
      <c r="G5" s="4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hidden="1" customHeight="1" x14ac:dyDescent="0.3">
      <c r="A6" s="45" t="s">
        <v>129</v>
      </c>
      <c r="B6" s="46" t="s">
        <v>313</v>
      </c>
      <c r="C6" s="46" t="s">
        <v>62</v>
      </c>
      <c r="D6" s="12"/>
      <c r="E6" s="47"/>
      <c r="F6" s="48">
        <f t="shared" ref="F6:F7" si="0">E6*D6</f>
        <v>0</v>
      </c>
      <c r="G6" s="4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1" hidden="1" x14ac:dyDescent="0.3">
      <c r="A7" s="66" t="s">
        <v>132</v>
      </c>
      <c r="B7" s="67" t="s">
        <v>314</v>
      </c>
      <c r="C7" s="67" t="s">
        <v>53</v>
      </c>
      <c r="D7" s="68"/>
      <c r="E7" s="69"/>
      <c r="F7" s="84">
        <f t="shared" si="0"/>
        <v>0</v>
      </c>
      <c r="G7" s="7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5" x14ac:dyDescent="0.3">
      <c r="A8" s="71"/>
      <c r="B8" s="72" t="s">
        <v>315</v>
      </c>
      <c r="C8" s="72"/>
      <c r="D8" s="72"/>
      <c r="E8" s="72"/>
      <c r="F8" s="72"/>
      <c r="G8" s="73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5" x14ac:dyDescent="0.3">
      <c r="A9" s="45" t="s">
        <v>133</v>
      </c>
      <c r="B9" s="12" t="s">
        <v>316</v>
      </c>
      <c r="C9" s="12" t="s">
        <v>53</v>
      </c>
      <c r="D9" s="12"/>
      <c r="E9" s="48"/>
      <c r="F9" s="48">
        <v>5000</v>
      </c>
      <c r="G9" s="5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5" x14ac:dyDescent="0.3">
      <c r="A10" s="45" t="s">
        <v>135</v>
      </c>
      <c r="B10" s="117" t="s">
        <v>423</v>
      </c>
      <c r="C10" s="12" t="s">
        <v>53</v>
      </c>
      <c r="D10" s="12"/>
      <c r="E10" s="48"/>
      <c r="F10" s="48">
        <v>1500</v>
      </c>
      <c r="G10" s="5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1" x14ac:dyDescent="0.3">
      <c r="A11" s="45" t="s">
        <v>136</v>
      </c>
      <c r="B11" s="46" t="s">
        <v>317</v>
      </c>
      <c r="C11" s="46" t="s">
        <v>53</v>
      </c>
      <c r="D11" s="12"/>
      <c r="E11" s="47"/>
      <c r="F11" s="48">
        <f t="shared" ref="F11" si="1">E11*D11</f>
        <v>0</v>
      </c>
      <c r="G11" s="5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1" x14ac:dyDescent="0.3">
      <c r="A12" s="45" t="s">
        <v>138</v>
      </c>
      <c r="B12" s="118" t="s">
        <v>398</v>
      </c>
      <c r="C12" s="113" t="s">
        <v>53</v>
      </c>
      <c r="D12" s="114"/>
      <c r="E12" s="119"/>
      <c r="F12" s="115"/>
      <c r="G12" s="120" t="s">
        <v>397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" customHeight="1" x14ac:dyDescent="0.3">
      <c r="A13" s="71"/>
      <c r="B13" s="72" t="s">
        <v>318</v>
      </c>
      <c r="C13" s="72"/>
      <c r="D13" s="72"/>
      <c r="E13" s="72"/>
      <c r="F13" s="72"/>
      <c r="G13" s="7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1" x14ac:dyDescent="0.3">
      <c r="A14" s="45" t="s">
        <v>140</v>
      </c>
      <c r="B14" s="118" t="s">
        <v>406</v>
      </c>
      <c r="C14" s="113" t="s">
        <v>36</v>
      </c>
      <c r="D14" s="114"/>
      <c r="E14" s="119"/>
      <c r="F14" s="115"/>
      <c r="G14" s="120" t="s">
        <v>396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5" x14ac:dyDescent="0.3">
      <c r="A15" s="60"/>
      <c r="B15" s="61" t="s">
        <v>319</v>
      </c>
      <c r="C15" s="61"/>
      <c r="D15" s="62"/>
      <c r="E15" s="62"/>
      <c r="F15" s="63">
        <f>SUM(F4:F14)</f>
        <v>24500</v>
      </c>
      <c r="G15" s="6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5" x14ac:dyDescent="0.3">
      <c r="A17" s="7"/>
      <c r="B17" s="124"/>
      <c r="C17" s="123"/>
      <c r="D17" s="123"/>
      <c r="E17" s="123"/>
      <c r="F17" s="123"/>
      <c r="G17" s="12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5" x14ac:dyDescent="0.3">
      <c r="A18" s="79" t="s">
        <v>320</v>
      </c>
      <c r="B18" s="7"/>
      <c r="C18" s="79"/>
      <c r="D18" s="79"/>
      <c r="E18" s="80"/>
      <c r="F18" s="80"/>
      <c r="G18" s="79"/>
      <c r="H18" s="79"/>
      <c r="I18" s="7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5" x14ac:dyDescent="0.3">
      <c r="A19" s="79" t="s">
        <v>321</v>
      </c>
      <c r="B19" s="7"/>
      <c r="C19" s="79"/>
      <c r="D19" s="79"/>
      <c r="E19" s="88"/>
      <c r="F19" s="80"/>
      <c r="G19" s="79"/>
      <c r="H19" s="79"/>
      <c r="I19" s="7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5" x14ac:dyDescent="0.3">
      <c r="A20" s="79" t="s">
        <v>322</v>
      </c>
      <c r="B20" s="7"/>
      <c r="C20" s="79"/>
      <c r="D20" s="79"/>
      <c r="E20" s="80"/>
      <c r="F20" s="80"/>
      <c r="G20" s="79"/>
      <c r="H20" s="79"/>
      <c r="I20" s="7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79" t="s">
        <v>323</v>
      </c>
      <c r="B21" s="7"/>
      <c r="C21" s="79"/>
      <c r="D21" s="79"/>
      <c r="E21" s="80"/>
      <c r="F21" s="80"/>
      <c r="G21" s="79"/>
      <c r="H21" s="79"/>
      <c r="I21" s="7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79" t="s">
        <v>324</v>
      </c>
      <c r="B22" s="7"/>
      <c r="C22" s="79"/>
      <c r="D22" s="79"/>
      <c r="E22" s="80"/>
      <c r="F22" s="80"/>
      <c r="G22" s="79"/>
      <c r="H22" s="79"/>
      <c r="I22" s="7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hidden="1" customHeight="1" x14ac:dyDescent="0.3">
      <c r="A23" s="79" t="s">
        <v>325</v>
      </c>
      <c r="B23" s="7"/>
      <c r="C23" s="79"/>
      <c r="D23" s="79"/>
      <c r="E23" s="80"/>
      <c r="F23" s="80"/>
      <c r="G23" s="79"/>
      <c r="H23" s="79"/>
      <c r="I23" s="7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110" t="s">
        <v>399</v>
      </c>
      <c r="B24" s="7"/>
      <c r="C24" s="79"/>
      <c r="D24" s="79"/>
      <c r="E24" s="80"/>
      <c r="F24" s="80"/>
      <c r="G24" s="79"/>
      <c r="H24" s="79"/>
      <c r="I24" s="7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79"/>
      <c r="B25" s="79"/>
      <c r="C25" s="79"/>
      <c r="D25" s="79"/>
      <c r="E25" s="79"/>
      <c r="F25" s="79"/>
      <c r="G25" s="79"/>
      <c r="H25" s="79"/>
      <c r="I25" s="7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7"/>
      <c r="B35" s="37" t="s">
        <v>429</v>
      </c>
      <c r="C35" s="37">
        <v>150</v>
      </c>
      <c r="D35" s="37" t="s">
        <v>430</v>
      </c>
      <c r="E35" s="37" t="s">
        <v>432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7"/>
      <c r="B36" s="37" t="s">
        <v>431</v>
      </c>
      <c r="C36" s="37">
        <v>200</v>
      </c>
      <c r="D36" s="37" t="s">
        <v>430</v>
      </c>
      <c r="E36" s="3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6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6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6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6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6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6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6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6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6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6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6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6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6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6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6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6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6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6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6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6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6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6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6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6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6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6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6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6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6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6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6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6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6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6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6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6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6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6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6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6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6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6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6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6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6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6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6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6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6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6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6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6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6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6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6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6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6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6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6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6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6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6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6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6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6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6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6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6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6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6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6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6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6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6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6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6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6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6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6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6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6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6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6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6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6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6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6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6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6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6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6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6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6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6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6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6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6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6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6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6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6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6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6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6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6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6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6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6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6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6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6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6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6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6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6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6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6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6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6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6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6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6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6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6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6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6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6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6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6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6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6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6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6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6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6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6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6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6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6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6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6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6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6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6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6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6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6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6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6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6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6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6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6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6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6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6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6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6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6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6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6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6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6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6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6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6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6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6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6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6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6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6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6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6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6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6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6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6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6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6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6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6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6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6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6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6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6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6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6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6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6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6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6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6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6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6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6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6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6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6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6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6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6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6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6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6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6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6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6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6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6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6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6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6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6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6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6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6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6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6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6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6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6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6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6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6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6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6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6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6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6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6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6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6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6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6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6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6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6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6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6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6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6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6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6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6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6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6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6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6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6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6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6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6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6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6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6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6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6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6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6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6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6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6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6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6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6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6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6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6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6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6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6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6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6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6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6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6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6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6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6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6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6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6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6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6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6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6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6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6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6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6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6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6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6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6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6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6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6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6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6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6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6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6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6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6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6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6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6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6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6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6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6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6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6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6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6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6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6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6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6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6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6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6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6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6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6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6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6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6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6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6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6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6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6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6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6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6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6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6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6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6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6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6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6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6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6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6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6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6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6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6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6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6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6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6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6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6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6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6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6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6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6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6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6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6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6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6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6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6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6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6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6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6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6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6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6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6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6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6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6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6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6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6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6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6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6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6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6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6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6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6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6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6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6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6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6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6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6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6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6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6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6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6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6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6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6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6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6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6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6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6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6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6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6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6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6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6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6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6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6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6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6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6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6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6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6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6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6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6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6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6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6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6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6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6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6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6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6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6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6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6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6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6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6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6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6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6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6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6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6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6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6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6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6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6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6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6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6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6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6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6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6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6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6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6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6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6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6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6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6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6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6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6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6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6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6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6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6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6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6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6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6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6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6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6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6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6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6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6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6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6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6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6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6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6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6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6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6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6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6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6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6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6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6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6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6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6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6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6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6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6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6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6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6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6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6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6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6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6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6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6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6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6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6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6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6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6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6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6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6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6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6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6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6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6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6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6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6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6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6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6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6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6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6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6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6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6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6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6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6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6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6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6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6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6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6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6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6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6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6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6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6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6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6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6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6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6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6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6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6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6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6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6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6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6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6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6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6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6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6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6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6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6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6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6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6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6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6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6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6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6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6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6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6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6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6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6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6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6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6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6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6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6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6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6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6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6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6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6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6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6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6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6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6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6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6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6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6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6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6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6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6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6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6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6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6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6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6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6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6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6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6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6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6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6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6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6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6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6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6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6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6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6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6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6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6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6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6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6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6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6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6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6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6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6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6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6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6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6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6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6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6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6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6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6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6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6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6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6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6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6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6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6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6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6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6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6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6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6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6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6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6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6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6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6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6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6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6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6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6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6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6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6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6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6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6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6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6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6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6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6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6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6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6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6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6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6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6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6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6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6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6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6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6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6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6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6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6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6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6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6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6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6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6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6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6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6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6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6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6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6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6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6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6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6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6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6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6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6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6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6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6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6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6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6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6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6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6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6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6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6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6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6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6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6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6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6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6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6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6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6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6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6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6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6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6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6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6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6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6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6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6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6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6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6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B17:G17"/>
  </mergeCells>
  <pageMargins left="0.51181102362204722" right="0.51181102362204722" top="0.74803149606299213" bottom="0.74803149606299213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rightToLeft="1" workbookViewId="0">
      <selection activeCell="B3" sqref="B3"/>
    </sheetView>
  </sheetViews>
  <sheetFormatPr defaultColWidth="14.3984375" defaultRowHeight="15" customHeight="1" x14ac:dyDescent="0.3"/>
  <cols>
    <col min="1" max="1" width="8" customWidth="1"/>
    <col min="2" max="2" width="51.3984375" customWidth="1"/>
    <col min="3" max="3" width="10.59765625" customWidth="1"/>
    <col min="4" max="4" width="7.3984375" customWidth="1"/>
    <col min="5" max="5" width="9.59765625" customWidth="1"/>
    <col min="6" max="6" width="10.3984375" customWidth="1"/>
    <col min="7" max="7" width="44" customWidth="1"/>
    <col min="8" max="26" width="9" customWidth="1"/>
  </cols>
  <sheetData>
    <row r="1" spans="1:26" ht="16.5" customHeight="1" x14ac:dyDescent="0.3">
      <c r="A1" s="34" t="s">
        <v>326</v>
      </c>
      <c r="B1" s="35" t="s">
        <v>327</v>
      </c>
      <c r="C1" s="35"/>
      <c r="D1" s="35"/>
      <c r="E1" s="35"/>
      <c r="F1" s="35"/>
      <c r="G1" s="36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6.5" customHeight="1" x14ac:dyDescent="0.3">
      <c r="A2" s="38" t="s">
        <v>27</v>
      </c>
      <c r="B2" s="39" t="s">
        <v>28</v>
      </c>
      <c r="C2" s="89" t="s">
        <v>29</v>
      </c>
      <c r="D2" s="39" t="s">
        <v>30</v>
      </c>
      <c r="E2" s="39" t="s">
        <v>31</v>
      </c>
      <c r="F2" s="40" t="s">
        <v>32</v>
      </c>
      <c r="G2" s="41" t="s">
        <v>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23.25" customHeight="1" x14ac:dyDescent="0.3">
      <c r="A3" s="45" t="s">
        <v>328</v>
      </c>
      <c r="B3" s="95" t="s">
        <v>400</v>
      </c>
      <c r="C3" s="12" t="s">
        <v>296</v>
      </c>
      <c r="D3" s="12">
        <v>9</v>
      </c>
      <c r="E3" s="47"/>
      <c r="F3" s="48">
        <f t="shared" ref="F3:F6" si="0">E3*D3</f>
        <v>0</v>
      </c>
      <c r="G3" s="49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32.25" customHeight="1" x14ac:dyDescent="0.3">
      <c r="A4" s="45" t="s">
        <v>329</v>
      </c>
      <c r="B4" s="46" t="s">
        <v>330</v>
      </c>
      <c r="C4" s="111" t="s">
        <v>53</v>
      </c>
      <c r="D4" s="12"/>
      <c r="E4" s="47"/>
      <c r="F4" s="48">
        <f t="shared" si="0"/>
        <v>0</v>
      </c>
      <c r="G4" s="49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26.25" customHeight="1" x14ac:dyDescent="0.3">
      <c r="A5" s="45" t="s">
        <v>331</v>
      </c>
      <c r="B5" s="46" t="s">
        <v>332</v>
      </c>
      <c r="C5" s="111" t="s">
        <v>53</v>
      </c>
      <c r="D5" s="12"/>
      <c r="E5" s="47"/>
      <c r="F5" s="48">
        <f t="shared" si="0"/>
        <v>0</v>
      </c>
      <c r="G5" s="49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31" hidden="1" x14ac:dyDescent="0.3">
      <c r="A6" s="45" t="s">
        <v>333</v>
      </c>
      <c r="B6" s="46" t="s">
        <v>334</v>
      </c>
      <c r="C6" s="90" t="s">
        <v>296</v>
      </c>
      <c r="D6" s="12"/>
      <c r="E6" s="47"/>
      <c r="F6" s="48">
        <f t="shared" si="0"/>
        <v>0</v>
      </c>
      <c r="G6" s="4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5" x14ac:dyDescent="0.3">
      <c r="A7" s="60"/>
      <c r="B7" s="61" t="s">
        <v>335</v>
      </c>
      <c r="C7" s="62"/>
      <c r="D7" s="62"/>
      <c r="E7" s="62"/>
      <c r="F7" s="63">
        <f>SUM(F3:F6)</f>
        <v>0</v>
      </c>
      <c r="G7" s="64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5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5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6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6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6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6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6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6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6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6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6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6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6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6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6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6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6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6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6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6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6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6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6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6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6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6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6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6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6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6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6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6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6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6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6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6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6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6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6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6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6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6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6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6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6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6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6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6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6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6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6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6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6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6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6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6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6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6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6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6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6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6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6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6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6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6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6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6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6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6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6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6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6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6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6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6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6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6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6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6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6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6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6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6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6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6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6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6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6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6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6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6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6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6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6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6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6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6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6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6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6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6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6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6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6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6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6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6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6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6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6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6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6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6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6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6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6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6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6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6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6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6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6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6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6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6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6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6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6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6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6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6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6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6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6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6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6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6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6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6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6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6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6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6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6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6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6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6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6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6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6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6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6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6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6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6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6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6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6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6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6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6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6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6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6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6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6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6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6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6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6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6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6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6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6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6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6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6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6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6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6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6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6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6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6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6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6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6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6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6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6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6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6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6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6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6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6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6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6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6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6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6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6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6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6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6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6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6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6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6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6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6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6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6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6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6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6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6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6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6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6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6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6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6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6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6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6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6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6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6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6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6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6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6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6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6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6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6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6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6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6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6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6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6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6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6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6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6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6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6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6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6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6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6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6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6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6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6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6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6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6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6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6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6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6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6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6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6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6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6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6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6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6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6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6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6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6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6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6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6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6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6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6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6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6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6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6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6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6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6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6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6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6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6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6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6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6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6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6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6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6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6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6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6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6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6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6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6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6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6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6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6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6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6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6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6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6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6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6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6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6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6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6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6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6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6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6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6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6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6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6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6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6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6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6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6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6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6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6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6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6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6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6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6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6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6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6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6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6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6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6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6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6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6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6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6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6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6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6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6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6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6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6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6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6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6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6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6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6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6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6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6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6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6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6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6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6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6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6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6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6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6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6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6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6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6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6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6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6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6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6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6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6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6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6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6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6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6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6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6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6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6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6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6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6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6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6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6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6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6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6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6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6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6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6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6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6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6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6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6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6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6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6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6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6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6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6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6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6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6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6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6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6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6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6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6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6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6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6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6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6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6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6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6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6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6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6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6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6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6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6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6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6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6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6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6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6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6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6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6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6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6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6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6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6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6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6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6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6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6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6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6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6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6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6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6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6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6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6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6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6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6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6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6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6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6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6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6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6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6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6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6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6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6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6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6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6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6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6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6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6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6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6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6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6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6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6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6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6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6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6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6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6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6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6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6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6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6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6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6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6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6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6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6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6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6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6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6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6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6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6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6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6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6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6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6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6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6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6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6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6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6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6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6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6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6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6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6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6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6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6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6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6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6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6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6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6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6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6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6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6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6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6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6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6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6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6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6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6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6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6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6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6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6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6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6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6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6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6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6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6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6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6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6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6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6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6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6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6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6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6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6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6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6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6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6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6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6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6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6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6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6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6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6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6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6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6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6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6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6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6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6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6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6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6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6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6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6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6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6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6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6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6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6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6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6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6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6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6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6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6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6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6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6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6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6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6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6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6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6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6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6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6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6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6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6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6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6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6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6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6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6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6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6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6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6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6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6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6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6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6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6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6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6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6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6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6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6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6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6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6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6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6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6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6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6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6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6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6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6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6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6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6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6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6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6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6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6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6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6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6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6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6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6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6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6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6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6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6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6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6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6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6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6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6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6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6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6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6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6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6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6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6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6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6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6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6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6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6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6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6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6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6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6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6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6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6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6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6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6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6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6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6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6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6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6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6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6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6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6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6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6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6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6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6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6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6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6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6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6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6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6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6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6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6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6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6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6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6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6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6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6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6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6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6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6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6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6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6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6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6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6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6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6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6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6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6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6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6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6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6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6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31496062992125984" right="0.31496062992125984" top="0.74803149606299213" bottom="0.74803149606299213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rightToLeft="1" workbookViewId="0"/>
  </sheetViews>
  <sheetFormatPr defaultColWidth="14.3984375" defaultRowHeight="15" customHeight="1" x14ac:dyDescent="0.3"/>
  <cols>
    <col min="1" max="1" width="8" customWidth="1"/>
    <col min="2" max="2" width="48" customWidth="1"/>
    <col min="3" max="3" width="9.3984375" customWidth="1"/>
    <col min="4" max="4" width="7.3984375" customWidth="1"/>
    <col min="5" max="5" width="9.59765625" customWidth="1"/>
    <col min="6" max="6" width="10.3984375" customWidth="1"/>
    <col min="7" max="7" width="44" customWidth="1"/>
    <col min="8" max="26" width="9" customWidth="1"/>
  </cols>
  <sheetData>
    <row r="1" spans="1:26" ht="16.5" customHeight="1" x14ac:dyDescent="0.3">
      <c r="A1" s="34" t="s">
        <v>336</v>
      </c>
      <c r="B1" s="35" t="s">
        <v>337</v>
      </c>
      <c r="C1" s="35"/>
      <c r="D1" s="35"/>
      <c r="E1" s="35"/>
      <c r="F1" s="35"/>
      <c r="G1" s="36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6.5" customHeight="1" x14ac:dyDescent="0.3">
      <c r="A2" s="38" t="s">
        <v>27</v>
      </c>
      <c r="B2" s="39" t="s">
        <v>28</v>
      </c>
      <c r="C2" s="89" t="s">
        <v>29</v>
      </c>
      <c r="D2" s="39" t="s">
        <v>30</v>
      </c>
      <c r="E2" s="39" t="s">
        <v>31</v>
      </c>
      <c r="F2" s="40" t="s">
        <v>32</v>
      </c>
      <c r="G2" s="41" t="s">
        <v>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23.25" customHeight="1" x14ac:dyDescent="0.3">
      <c r="A3" s="45" t="s">
        <v>338</v>
      </c>
      <c r="B3" s="46" t="s">
        <v>339</v>
      </c>
      <c r="C3" s="46" t="s">
        <v>296</v>
      </c>
      <c r="D3" s="12"/>
      <c r="E3" s="47"/>
      <c r="F3" s="48">
        <f t="shared" ref="F3:F8" si="0">E3*D3</f>
        <v>0</v>
      </c>
      <c r="G3" s="49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31" x14ac:dyDescent="0.3">
      <c r="A4" s="45" t="s">
        <v>340</v>
      </c>
      <c r="B4" s="46" t="s">
        <v>341</v>
      </c>
      <c r="C4" s="46" t="s">
        <v>296</v>
      </c>
      <c r="D4" s="12"/>
      <c r="E4" s="47"/>
      <c r="F4" s="48">
        <f t="shared" si="0"/>
        <v>0</v>
      </c>
      <c r="G4" s="49" t="s">
        <v>342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31" x14ac:dyDescent="0.3">
      <c r="A5" s="45" t="s">
        <v>343</v>
      </c>
      <c r="B5" s="46" t="s">
        <v>344</v>
      </c>
      <c r="C5" s="46" t="s">
        <v>296</v>
      </c>
      <c r="D5" s="12"/>
      <c r="E5" s="47"/>
      <c r="F5" s="48">
        <f t="shared" si="0"/>
        <v>0</v>
      </c>
      <c r="G5" s="49" t="s">
        <v>342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31" x14ac:dyDescent="0.3">
      <c r="A6" s="45" t="s">
        <v>345</v>
      </c>
      <c r="B6" s="46" t="s">
        <v>346</v>
      </c>
      <c r="C6" s="46" t="s">
        <v>296</v>
      </c>
      <c r="D6" s="12"/>
      <c r="E6" s="47"/>
      <c r="F6" s="48">
        <f t="shared" si="0"/>
        <v>0</v>
      </c>
      <c r="G6" s="49" t="s">
        <v>347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1" x14ac:dyDescent="0.3">
      <c r="A7" s="45" t="s">
        <v>348</v>
      </c>
      <c r="B7" s="46" t="s">
        <v>349</v>
      </c>
      <c r="C7" s="46" t="s">
        <v>296</v>
      </c>
      <c r="D7" s="12"/>
      <c r="E7" s="47"/>
      <c r="F7" s="48">
        <f t="shared" si="0"/>
        <v>0</v>
      </c>
      <c r="G7" s="49" t="s">
        <v>350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5" x14ac:dyDescent="0.3">
      <c r="A8" s="45" t="s">
        <v>351</v>
      </c>
      <c r="B8" s="46" t="s">
        <v>352</v>
      </c>
      <c r="C8" s="46" t="s">
        <v>296</v>
      </c>
      <c r="D8" s="12"/>
      <c r="E8" s="47"/>
      <c r="F8" s="48">
        <f t="shared" si="0"/>
        <v>0</v>
      </c>
      <c r="G8" s="4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5" x14ac:dyDescent="0.3">
      <c r="A9" s="60"/>
      <c r="B9" s="61" t="s">
        <v>353</v>
      </c>
      <c r="C9" s="61"/>
      <c r="D9" s="62"/>
      <c r="E9" s="62"/>
      <c r="F9" s="63">
        <f>SUM(F3:F8)</f>
        <v>0</v>
      </c>
      <c r="G9" s="6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5" x14ac:dyDescent="0.3">
      <c r="A10" s="7"/>
      <c r="B10" s="124"/>
      <c r="C10" s="123"/>
      <c r="D10" s="123"/>
      <c r="E10" s="123"/>
      <c r="F10" s="123"/>
      <c r="G10" s="12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5" x14ac:dyDescent="0.3">
      <c r="A13" s="34" t="s">
        <v>354</v>
      </c>
      <c r="B13" s="35" t="s">
        <v>355</v>
      </c>
      <c r="C13" s="35"/>
      <c r="D13" s="35"/>
      <c r="E13" s="35"/>
      <c r="F13" s="35"/>
      <c r="G13" s="3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5" x14ac:dyDescent="0.3">
      <c r="A14" s="38" t="s">
        <v>27</v>
      </c>
      <c r="B14" s="39" t="s">
        <v>28</v>
      </c>
      <c r="C14" s="89" t="s">
        <v>29</v>
      </c>
      <c r="D14" s="39" t="s">
        <v>30</v>
      </c>
      <c r="E14" s="39" t="s">
        <v>31</v>
      </c>
      <c r="F14" s="40" t="s">
        <v>32</v>
      </c>
      <c r="G14" s="41" t="s">
        <v>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5" x14ac:dyDescent="0.3">
      <c r="A15" s="45" t="s">
        <v>356</v>
      </c>
      <c r="B15" s="46" t="s">
        <v>339</v>
      </c>
      <c r="C15" s="46" t="s">
        <v>296</v>
      </c>
      <c r="D15" s="12"/>
      <c r="E15" s="47"/>
      <c r="F15" s="48">
        <f t="shared" ref="F15:F18" si="1">E15*D15</f>
        <v>0</v>
      </c>
      <c r="G15" s="4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5" x14ac:dyDescent="0.3">
      <c r="A16" s="45" t="s">
        <v>357</v>
      </c>
      <c r="B16" s="46" t="s">
        <v>358</v>
      </c>
      <c r="C16" s="46" t="s">
        <v>359</v>
      </c>
      <c r="D16" s="12"/>
      <c r="E16" s="47"/>
      <c r="F16" s="48">
        <f t="shared" si="1"/>
        <v>0</v>
      </c>
      <c r="G16" s="4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5" x14ac:dyDescent="0.3">
      <c r="A17" s="45" t="s">
        <v>360</v>
      </c>
      <c r="B17" s="46" t="s">
        <v>361</v>
      </c>
      <c r="C17" s="46" t="s">
        <v>296</v>
      </c>
      <c r="D17" s="12"/>
      <c r="E17" s="47"/>
      <c r="F17" s="48">
        <f t="shared" si="1"/>
        <v>0</v>
      </c>
      <c r="G17" s="49" t="s">
        <v>362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5" x14ac:dyDescent="0.3">
      <c r="A18" s="45" t="s">
        <v>363</v>
      </c>
      <c r="B18" s="46" t="s">
        <v>364</v>
      </c>
      <c r="C18" s="46" t="s">
        <v>296</v>
      </c>
      <c r="D18" s="12"/>
      <c r="E18" s="47"/>
      <c r="F18" s="48">
        <f t="shared" si="1"/>
        <v>0</v>
      </c>
      <c r="G18" s="4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5" x14ac:dyDescent="0.3">
      <c r="A19" s="60"/>
      <c r="B19" s="61" t="s">
        <v>365</v>
      </c>
      <c r="C19" s="61"/>
      <c r="D19" s="62"/>
      <c r="E19" s="62"/>
      <c r="F19" s="63">
        <f>SUM(F15:F18)</f>
        <v>0</v>
      </c>
      <c r="G19" s="64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6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6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6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6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6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6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6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6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6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6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6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6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6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6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6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6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6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6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6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6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6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6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6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6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6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6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6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6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6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6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6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6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6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6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6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6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6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6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6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6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6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6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6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6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6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6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6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6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6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6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6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6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6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6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6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6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6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6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6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6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6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6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6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6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6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6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6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6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6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6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6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6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6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6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6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6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6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6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6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6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6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6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6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6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6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6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6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6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6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6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6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6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6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6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6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6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6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6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6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6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6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6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6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6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6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6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6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6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6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6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6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6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6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6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6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6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6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6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6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6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6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6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6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6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6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6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6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6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6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6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6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6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6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6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6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6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6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6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6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6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6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6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6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6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6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6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6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6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6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6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6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6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6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6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6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6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6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6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6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6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6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6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6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6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6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6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6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6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6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6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6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6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6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6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6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6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6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6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6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6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6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6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6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6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6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6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6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6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6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6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6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6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6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6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6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6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6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6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6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6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6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6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6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6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6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6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6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6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6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6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6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6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6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6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6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6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6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6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6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6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6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6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6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6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6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6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6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6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6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6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6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6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6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6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6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6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6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6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6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6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6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6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6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6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6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6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6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6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6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6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6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6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6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6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6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6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6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6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6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6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6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6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6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6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6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6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6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6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6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6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6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6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6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6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6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6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6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6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6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6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6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6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6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6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6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6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6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6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6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6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6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6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6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6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6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6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6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6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6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6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6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6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6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6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6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6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6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6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6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6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6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6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6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6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6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6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6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6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6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6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6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6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6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6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6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6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6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6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6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6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6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6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6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6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6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6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6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6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6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6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6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6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6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6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6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6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6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6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6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6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6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6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6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6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6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6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6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6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6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6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6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6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6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6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6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6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6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6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6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6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6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6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6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6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6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6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6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6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6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6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6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6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6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6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6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6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6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6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6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6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6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6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6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6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6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6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6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6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6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6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6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6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6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6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6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6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6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6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6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6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6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6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6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6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6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6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6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6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6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6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6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6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6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6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6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6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6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6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6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6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6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6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6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6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6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6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6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6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6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6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6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6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6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6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6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6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6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6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6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6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6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6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6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6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6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6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6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6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6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6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6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6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6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6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6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6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6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6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6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6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6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6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6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6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6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6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6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6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6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6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6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6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6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6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6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6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6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6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6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6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6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6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6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6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6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6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6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6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6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6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6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6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6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6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6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6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6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6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6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6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6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6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6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6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6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6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6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6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6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6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6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6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6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6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6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6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6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6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6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6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6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6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6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6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6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6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6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6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6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6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6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6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6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6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6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6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6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6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6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6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6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6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6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6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6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6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6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6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6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6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6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6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6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6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6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6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6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6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6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6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6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6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6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6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6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6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6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6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6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6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6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6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6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6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6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6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6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6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6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6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6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6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6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6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6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6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6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6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6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6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6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6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6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6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6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6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6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6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6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6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6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6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6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6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6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6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6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6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6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6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6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6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6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6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6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6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6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6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6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6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6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6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6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6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6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6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6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6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6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6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6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6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6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6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6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6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6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6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6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6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6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6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6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6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6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6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6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6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6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6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6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6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6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6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6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6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6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6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6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6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6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6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6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6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6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6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6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6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6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6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6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6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6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6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6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6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6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6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6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6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6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6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6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6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6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6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6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6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6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6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6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6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6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6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6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6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6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6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6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6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6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6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6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6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6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6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6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6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6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6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6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6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6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6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6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6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6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6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6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6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6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6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6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6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6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6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6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6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6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6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6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6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6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6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6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6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6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6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6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6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6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6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6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6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6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6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6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6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6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6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6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6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6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6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6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6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6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6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6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6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6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6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6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6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6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6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6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6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6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6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B10:G10"/>
  </mergeCells>
  <pageMargins left="0.31496062992125984" right="0.31496062992125984" top="0.74803149606299213" bottom="0.74803149606299213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rightToLeft="1" workbookViewId="0">
      <selection activeCell="D12" sqref="D12:D15"/>
    </sheetView>
  </sheetViews>
  <sheetFormatPr defaultColWidth="14.3984375" defaultRowHeight="15" customHeight="1" x14ac:dyDescent="0.3"/>
  <cols>
    <col min="1" max="1" width="8" customWidth="1"/>
    <col min="2" max="2" width="51.3984375" customWidth="1"/>
    <col min="3" max="3" width="10.59765625" customWidth="1"/>
    <col min="4" max="4" width="7.3984375" customWidth="1"/>
    <col min="5" max="5" width="9.59765625" customWidth="1"/>
    <col min="6" max="6" width="10.3984375" customWidth="1"/>
    <col min="7" max="7" width="44" customWidth="1"/>
    <col min="8" max="26" width="9" customWidth="1"/>
  </cols>
  <sheetData>
    <row r="1" spans="1:26" ht="16.5" customHeight="1" x14ac:dyDescent="0.3">
      <c r="A1" s="34" t="s">
        <v>366</v>
      </c>
      <c r="B1" s="35" t="s">
        <v>15</v>
      </c>
      <c r="C1" s="35"/>
      <c r="D1" s="35"/>
      <c r="E1" s="35"/>
      <c r="F1" s="35"/>
      <c r="G1" s="36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6.5" customHeight="1" x14ac:dyDescent="0.3">
      <c r="A2" s="38" t="s">
        <v>27</v>
      </c>
      <c r="B2" s="39" t="s">
        <v>28</v>
      </c>
      <c r="C2" s="89" t="s">
        <v>29</v>
      </c>
      <c r="D2" s="39" t="s">
        <v>30</v>
      </c>
      <c r="E2" s="39" t="s">
        <v>31</v>
      </c>
      <c r="F2" s="40" t="s">
        <v>32</v>
      </c>
      <c r="G2" s="41" t="s">
        <v>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5" x14ac:dyDescent="0.3">
      <c r="A3" s="45" t="s">
        <v>367</v>
      </c>
      <c r="B3" s="46" t="s">
        <v>368</v>
      </c>
      <c r="C3" s="12" t="s">
        <v>53</v>
      </c>
      <c r="D3" s="12">
        <v>0</v>
      </c>
      <c r="E3" s="47"/>
      <c r="F3" s="48">
        <f t="shared" ref="F3:F5" si="0">E3*D3</f>
        <v>0</v>
      </c>
      <c r="G3" s="49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5" x14ac:dyDescent="0.3">
      <c r="A4" s="45" t="s">
        <v>369</v>
      </c>
      <c r="B4" s="46" t="s">
        <v>370</v>
      </c>
      <c r="C4" s="90" t="s">
        <v>53</v>
      </c>
      <c r="D4" s="12">
        <v>0</v>
      </c>
      <c r="E4" s="47"/>
      <c r="F4" s="48">
        <f t="shared" si="0"/>
        <v>0</v>
      </c>
      <c r="G4" s="49" t="s">
        <v>371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5" x14ac:dyDescent="0.3">
      <c r="A5" s="45" t="s">
        <v>372</v>
      </c>
      <c r="B5" s="46" t="s">
        <v>373</v>
      </c>
      <c r="C5" s="90" t="s">
        <v>62</v>
      </c>
      <c r="D5" s="12">
        <v>0</v>
      </c>
      <c r="E5" s="47"/>
      <c r="F5" s="48">
        <f t="shared" si="0"/>
        <v>0</v>
      </c>
      <c r="G5" s="49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24.75" customHeight="1" x14ac:dyDescent="0.3">
      <c r="A6" s="60"/>
      <c r="B6" s="61" t="s">
        <v>374</v>
      </c>
      <c r="C6" s="62"/>
      <c r="D6" s="12">
        <v>0</v>
      </c>
      <c r="E6" s="62"/>
      <c r="F6" s="63">
        <f>SUM(F3:F5)</f>
        <v>0</v>
      </c>
      <c r="G6" s="6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5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5" x14ac:dyDescent="0.3">
      <c r="A10" s="34" t="s">
        <v>375</v>
      </c>
      <c r="B10" s="35" t="s">
        <v>376</v>
      </c>
      <c r="C10" s="35"/>
      <c r="D10" s="35"/>
      <c r="E10" s="35"/>
      <c r="F10" s="35"/>
      <c r="G10" s="3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5" x14ac:dyDescent="0.3">
      <c r="A11" s="38" t="s">
        <v>27</v>
      </c>
      <c r="B11" s="39" t="s">
        <v>28</v>
      </c>
      <c r="C11" s="89" t="s">
        <v>29</v>
      </c>
      <c r="D11" s="39" t="s">
        <v>30</v>
      </c>
      <c r="E11" s="39" t="s">
        <v>31</v>
      </c>
      <c r="F11" s="40" t="s">
        <v>32</v>
      </c>
      <c r="G11" s="41" t="s">
        <v>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5" x14ac:dyDescent="0.3">
      <c r="A12" s="45"/>
      <c r="B12" s="46"/>
      <c r="C12" s="12"/>
      <c r="D12" s="12">
        <v>0</v>
      </c>
      <c r="E12" s="47"/>
      <c r="F12" s="48">
        <f t="shared" ref="F12:F14" si="1">E12*D12</f>
        <v>0</v>
      </c>
      <c r="G12" s="4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5" x14ac:dyDescent="0.3">
      <c r="A13" s="45"/>
      <c r="B13" s="46"/>
      <c r="C13" s="90"/>
      <c r="D13" s="12">
        <v>0</v>
      </c>
      <c r="E13" s="47"/>
      <c r="F13" s="48">
        <f t="shared" si="1"/>
        <v>0</v>
      </c>
      <c r="G13" s="4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5" x14ac:dyDescent="0.3">
      <c r="A14" s="45"/>
      <c r="B14" s="46"/>
      <c r="C14" s="90"/>
      <c r="D14" s="12">
        <v>0</v>
      </c>
      <c r="E14" s="47"/>
      <c r="F14" s="48">
        <f t="shared" si="1"/>
        <v>0</v>
      </c>
      <c r="G14" s="4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5" x14ac:dyDescent="0.3">
      <c r="A15" s="60"/>
      <c r="B15" s="61" t="s">
        <v>374</v>
      </c>
      <c r="C15" s="62"/>
      <c r="D15" s="12">
        <v>0</v>
      </c>
      <c r="E15" s="62"/>
      <c r="F15" s="63">
        <f>SUM(F12:F14)</f>
        <v>0</v>
      </c>
      <c r="G15" s="6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5" x14ac:dyDescent="0.3">
      <c r="A17" s="7" t="s">
        <v>377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5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6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6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6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6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6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6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6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6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6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6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6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6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6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6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6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6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6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6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6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6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6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6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6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6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6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6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6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6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6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6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6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6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6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6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6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6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6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6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6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6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6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6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6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6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6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6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6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6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6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6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6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6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6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6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6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6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6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6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6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6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6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6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6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6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6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6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6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6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6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6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6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6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6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6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6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6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6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6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6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6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6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6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6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6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6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6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6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6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6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6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6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6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6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6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6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6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6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6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6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6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6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6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6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6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6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6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6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6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6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6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6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6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6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6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6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6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7"/>
      <c r="F337" s="7"/>
      <c r="G337" s="6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7"/>
      <c r="F338" s="7"/>
      <c r="G338" s="6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7"/>
      <c r="F339" s="7"/>
      <c r="G339" s="6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7"/>
      <c r="F340" s="7"/>
      <c r="G340" s="6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7"/>
      <c r="F341" s="7"/>
      <c r="G341" s="6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7"/>
      <c r="F342" s="7"/>
      <c r="G342" s="6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7"/>
      <c r="F343" s="7"/>
      <c r="G343" s="6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7"/>
      <c r="F344" s="7"/>
      <c r="G344" s="6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7"/>
      <c r="F345" s="7"/>
      <c r="G345" s="6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7"/>
      <c r="F346" s="7"/>
      <c r="G346" s="6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7"/>
      <c r="F347" s="7"/>
      <c r="G347" s="6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7"/>
      <c r="F348" s="7"/>
      <c r="G348" s="6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7"/>
      <c r="F349" s="7"/>
      <c r="G349" s="6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7"/>
      <c r="F350" s="7"/>
      <c r="G350" s="6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7"/>
      <c r="F351" s="7"/>
      <c r="G351" s="6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7"/>
      <c r="F352" s="7"/>
      <c r="G352" s="6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7"/>
      <c r="F353" s="7"/>
      <c r="G353" s="6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7"/>
      <c r="F354" s="7"/>
      <c r="G354" s="6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7"/>
      <c r="F355" s="7"/>
      <c r="G355" s="6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7"/>
      <c r="F356" s="7"/>
      <c r="G356" s="6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7"/>
      <c r="F357" s="7"/>
      <c r="G357" s="6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7"/>
      <c r="F358" s="7"/>
      <c r="G358" s="6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7"/>
      <c r="F359" s="7"/>
      <c r="G359" s="6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7"/>
      <c r="F360" s="7"/>
      <c r="G360" s="6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7"/>
      <c r="F361" s="7"/>
      <c r="G361" s="6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7"/>
      <c r="F362" s="7"/>
      <c r="G362" s="6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7"/>
      <c r="F363" s="7"/>
      <c r="G363" s="6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7"/>
      <c r="F364" s="7"/>
      <c r="G364" s="6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7"/>
      <c r="F365" s="7"/>
      <c r="G365" s="6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7"/>
      <c r="F366" s="7"/>
      <c r="G366" s="6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7"/>
      <c r="F367" s="7"/>
      <c r="G367" s="6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7"/>
      <c r="F368" s="7"/>
      <c r="G368" s="6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7"/>
      <c r="F369" s="7"/>
      <c r="G369" s="6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7"/>
      <c r="F370" s="7"/>
      <c r="G370" s="6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7"/>
      <c r="F371" s="7"/>
      <c r="G371" s="6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7"/>
      <c r="F372" s="7"/>
      <c r="G372" s="6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7"/>
      <c r="F373" s="7"/>
      <c r="G373" s="6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7"/>
      <c r="F374" s="7"/>
      <c r="G374" s="6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7"/>
      <c r="F375" s="7"/>
      <c r="G375" s="6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7"/>
      <c r="F376" s="7"/>
      <c r="G376" s="6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7"/>
      <c r="F377" s="7"/>
      <c r="G377" s="6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7"/>
      <c r="F378" s="7"/>
      <c r="G378" s="6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7"/>
      <c r="F379" s="7"/>
      <c r="G379" s="6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7"/>
      <c r="F380" s="7"/>
      <c r="G380" s="6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7"/>
      <c r="F381" s="7"/>
      <c r="G381" s="6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7"/>
      <c r="F382" s="7"/>
      <c r="G382" s="6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7"/>
      <c r="F383" s="7"/>
      <c r="G383" s="6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7"/>
      <c r="F384" s="7"/>
      <c r="G384" s="6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7"/>
      <c r="F385" s="7"/>
      <c r="G385" s="6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7"/>
      <c r="F386" s="7"/>
      <c r="G386" s="6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7"/>
      <c r="F387" s="7"/>
      <c r="G387" s="6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7"/>
      <c r="F388" s="7"/>
      <c r="G388" s="6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7"/>
      <c r="F389" s="7"/>
      <c r="G389" s="6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7"/>
      <c r="F390" s="7"/>
      <c r="G390" s="6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7"/>
      <c r="F391" s="7"/>
      <c r="G391" s="6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7"/>
      <c r="F392" s="7"/>
      <c r="G392" s="6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7"/>
      <c r="F393" s="7"/>
      <c r="G393" s="6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7"/>
      <c r="F394" s="7"/>
      <c r="G394" s="6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7"/>
      <c r="F395" s="7"/>
      <c r="G395" s="6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7"/>
      <c r="F396" s="7"/>
      <c r="G396" s="6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7"/>
      <c r="F397" s="7"/>
      <c r="G397" s="6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7"/>
      <c r="F398" s="7"/>
      <c r="G398" s="6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7"/>
      <c r="F399" s="7"/>
      <c r="G399" s="6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7"/>
      <c r="F400" s="7"/>
      <c r="G400" s="6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7"/>
      <c r="F401" s="7"/>
      <c r="G401" s="6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7"/>
      <c r="F402" s="7"/>
      <c r="G402" s="6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7"/>
      <c r="F403" s="7"/>
      <c r="G403" s="6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7"/>
      <c r="F404" s="7"/>
      <c r="G404" s="6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7"/>
      <c r="F405" s="7"/>
      <c r="G405" s="6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7"/>
      <c r="F406" s="7"/>
      <c r="G406" s="6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7"/>
      <c r="F407" s="7"/>
      <c r="G407" s="6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7"/>
      <c r="F408" s="7"/>
      <c r="G408" s="6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7"/>
      <c r="F409" s="7"/>
      <c r="G409" s="6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7"/>
      <c r="F410" s="7"/>
      <c r="G410" s="6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7"/>
      <c r="F411" s="7"/>
      <c r="G411" s="6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7"/>
      <c r="F412" s="7"/>
      <c r="G412" s="6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7"/>
      <c r="F413" s="7"/>
      <c r="G413" s="6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7"/>
      <c r="F414" s="7"/>
      <c r="G414" s="6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7"/>
      <c r="F415" s="7"/>
      <c r="G415" s="6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7"/>
      <c r="F416" s="7"/>
      <c r="G416" s="6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7"/>
      <c r="F417" s="7"/>
      <c r="G417" s="6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7"/>
      <c r="F418" s="7"/>
      <c r="G418" s="6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7"/>
      <c r="F419" s="7"/>
      <c r="G419" s="6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7"/>
      <c r="F420" s="7"/>
      <c r="G420" s="6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7"/>
      <c r="F421" s="7"/>
      <c r="G421" s="6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7"/>
      <c r="F422" s="7"/>
      <c r="G422" s="6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7"/>
      <c r="F423" s="7"/>
      <c r="G423" s="6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7"/>
      <c r="F424" s="7"/>
      <c r="G424" s="6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7"/>
      <c r="F425" s="7"/>
      <c r="G425" s="6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7"/>
      <c r="F426" s="7"/>
      <c r="G426" s="6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7"/>
      <c r="F427" s="7"/>
      <c r="G427" s="6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7"/>
      <c r="F428" s="7"/>
      <c r="G428" s="6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7"/>
      <c r="F429" s="7"/>
      <c r="G429" s="6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7"/>
      <c r="F430" s="7"/>
      <c r="G430" s="6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7"/>
      <c r="F431" s="7"/>
      <c r="G431" s="6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7"/>
      <c r="F432" s="7"/>
      <c r="G432" s="6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7"/>
      <c r="F433" s="7"/>
      <c r="G433" s="6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7"/>
      <c r="F434" s="7"/>
      <c r="G434" s="6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7"/>
      <c r="F435" s="7"/>
      <c r="G435" s="6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7"/>
      <c r="F436" s="7"/>
      <c r="G436" s="6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7"/>
      <c r="F437" s="7"/>
      <c r="G437" s="6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7"/>
      <c r="F438" s="7"/>
      <c r="G438" s="6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7"/>
      <c r="F439" s="7"/>
      <c r="G439" s="6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7"/>
      <c r="F440" s="7"/>
      <c r="G440" s="6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7"/>
      <c r="F441" s="7"/>
      <c r="G441" s="6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7"/>
      <c r="F442" s="7"/>
      <c r="G442" s="6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7"/>
      <c r="F443" s="7"/>
      <c r="G443" s="6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7"/>
      <c r="F444" s="7"/>
      <c r="G444" s="6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7"/>
      <c r="F445" s="7"/>
      <c r="G445" s="6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7"/>
      <c r="F446" s="7"/>
      <c r="G446" s="6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7"/>
      <c r="F447" s="7"/>
      <c r="G447" s="6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7"/>
      <c r="F448" s="7"/>
      <c r="G448" s="6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7"/>
      <c r="F449" s="7"/>
      <c r="G449" s="6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7"/>
      <c r="F450" s="7"/>
      <c r="G450" s="6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7"/>
      <c r="F451" s="7"/>
      <c r="G451" s="6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7"/>
      <c r="F452" s="7"/>
      <c r="G452" s="6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7"/>
      <c r="F453" s="7"/>
      <c r="G453" s="6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7"/>
      <c r="F454" s="7"/>
      <c r="G454" s="6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7"/>
      <c r="F455" s="7"/>
      <c r="G455" s="6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7"/>
      <c r="F456" s="7"/>
      <c r="G456" s="6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7"/>
      <c r="F457" s="7"/>
      <c r="G457" s="6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7"/>
      <c r="F458" s="7"/>
      <c r="G458" s="6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7"/>
      <c r="F459" s="7"/>
      <c r="G459" s="6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7"/>
      <c r="F460" s="7"/>
      <c r="G460" s="6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7"/>
      <c r="F461" s="7"/>
      <c r="G461" s="6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7"/>
      <c r="F462" s="7"/>
      <c r="G462" s="6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7"/>
      <c r="F463" s="7"/>
      <c r="G463" s="6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7"/>
      <c r="F464" s="7"/>
      <c r="G464" s="6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7"/>
      <c r="F465" s="7"/>
      <c r="G465" s="6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7"/>
      <c r="F466" s="7"/>
      <c r="G466" s="6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7"/>
      <c r="F467" s="7"/>
      <c r="G467" s="6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7"/>
      <c r="F468" s="7"/>
      <c r="G468" s="6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7"/>
      <c r="F469" s="7"/>
      <c r="G469" s="6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7"/>
      <c r="F470" s="7"/>
      <c r="G470" s="6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7"/>
      <c r="F471" s="7"/>
      <c r="G471" s="6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7"/>
      <c r="F472" s="7"/>
      <c r="G472" s="6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7"/>
      <c r="F473" s="7"/>
      <c r="G473" s="6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7"/>
      <c r="F474" s="7"/>
      <c r="G474" s="6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7"/>
      <c r="F475" s="7"/>
      <c r="G475" s="6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7"/>
      <c r="F476" s="7"/>
      <c r="G476" s="6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7"/>
      <c r="F477" s="7"/>
      <c r="G477" s="6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7"/>
      <c r="F478" s="7"/>
      <c r="G478" s="6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7"/>
      <c r="F479" s="7"/>
      <c r="G479" s="6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7"/>
      <c r="F480" s="7"/>
      <c r="G480" s="6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7"/>
      <c r="F481" s="7"/>
      <c r="G481" s="6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7"/>
      <c r="F482" s="7"/>
      <c r="G482" s="6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7"/>
      <c r="F483" s="7"/>
      <c r="G483" s="6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7"/>
      <c r="F484" s="7"/>
      <c r="G484" s="6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7"/>
      <c r="F485" s="7"/>
      <c r="G485" s="6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7"/>
      <c r="F486" s="7"/>
      <c r="G486" s="6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7"/>
      <c r="F487" s="7"/>
      <c r="G487" s="6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7"/>
      <c r="F488" s="7"/>
      <c r="G488" s="6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7"/>
      <c r="F489" s="7"/>
      <c r="G489" s="6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7"/>
      <c r="F490" s="7"/>
      <c r="G490" s="6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7"/>
      <c r="F491" s="7"/>
      <c r="G491" s="6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7"/>
      <c r="F492" s="7"/>
      <c r="G492" s="6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7"/>
      <c r="F493" s="7"/>
      <c r="G493" s="6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7"/>
      <c r="F494" s="7"/>
      <c r="G494" s="6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7"/>
      <c r="F495" s="7"/>
      <c r="G495" s="6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7"/>
      <c r="F496" s="7"/>
      <c r="G496" s="6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7"/>
      <c r="F497" s="7"/>
      <c r="G497" s="6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7"/>
      <c r="F498" s="7"/>
      <c r="G498" s="6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7"/>
      <c r="F499" s="7"/>
      <c r="G499" s="6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7"/>
      <c r="F500" s="7"/>
      <c r="G500" s="6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7"/>
      <c r="F501" s="7"/>
      <c r="G501" s="6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7"/>
      <c r="F502" s="7"/>
      <c r="G502" s="6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7"/>
      <c r="F503" s="7"/>
      <c r="G503" s="6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7"/>
      <c r="F504" s="7"/>
      <c r="G504" s="6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7"/>
      <c r="F505" s="7"/>
      <c r="G505" s="6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7"/>
      <c r="F506" s="7"/>
      <c r="G506" s="6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7"/>
      <c r="F507" s="7"/>
      <c r="G507" s="6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7"/>
      <c r="F508" s="7"/>
      <c r="G508" s="6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7"/>
      <c r="F509" s="7"/>
      <c r="G509" s="6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7"/>
      <c r="F510" s="7"/>
      <c r="G510" s="6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7"/>
      <c r="F511" s="7"/>
      <c r="G511" s="6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7"/>
      <c r="F512" s="7"/>
      <c r="G512" s="6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7"/>
      <c r="F513" s="7"/>
      <c r="G513" s="6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7"/>
      <c r="F514" s="7"/>
      <c r="G514" s="6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7"/>
      <c r="F515" s="7"/>
      <c r="G515" s="6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7"/>
      <c r="F516" s="7"/>
      <c r="G516" s="6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7"/>
      <c r="F517" s="7"/>
      <c r="G517" s="6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7"/>
      <c r="F518" s="7"/>
      <c r="G518" s="6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7"/>
      <c r="F519" s="7"/>
      <c r="G519" s="6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7"/>
      <c r="F520" s="7"/>
      <c r="G520" s="6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7"/>
      <c r="F521" s="7"/>
      <c r="G521" s="6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7"/>
      <c r="F522" s="7"/>
      <c r="G522" s="6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7"/>
      <c r="F523" s="7"/>
      <c r="G523" s="6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7"/>
      <c r="F524" s="7"/>
      <c r="G524" s="6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7"/>
      <c r="F525" s="7"/>
      <c r="G525" s="6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7"/>
      <c r="F526" s="7"/>
      <c r="G526" s="6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7"/>
      <c r="F527" s="7"/>
      <c r="G527" s="6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7"/>
      <c r="F528" s="7"/>
      <c r="G528" s="6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7"/>
      <c r="F529" s="7"/>
      <c r="G529" s="6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7"/>
      <c r="F530" s="7"/>
      <c r="G530" s="6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7"/>
      <c r="F531" s="7"/>
      <c r="G531" s="6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7"/>
      <c r="F532" s="7"/>
      <c r="G532" s="6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7"/>
      <c r="F533" s="7"/>
      <c r="G533" s="6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7"/>
      <c r="F534" s="7"/>
      <c r="G534" s="6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7"/>
      <c r="F535" s="7"/>
      <c r="G535" s="6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7"/>
      <c r="F536" s="7"/>
      <c r="G536" s="6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7"/>
      <c r="F537" s="7"/>
      <c r="G537" s="6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7"/>
      <c r="F538" s="7"/>
      <c r="G538" s="6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7"/>
      <c r="F539" s="7"/>
      <c r="G539" s="6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7"/>
      <c r="F540" s="7"/>
      <c r="G540" s="6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7"/>
      <c r="F541" s="7"/>
      <c r="G541" s="6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7"/>
      <c r="F542" s="7"/>
      <c r="G542" s="6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7"/>
      <c r="F543" s="7"/>
      <c r="G543" s="6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7"/>
      <c r="F544" s="7"/>
      <c r="G544" s="6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7"/>
      <c r="F545" s="7"/>
      <c r="G545" s="6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7"/>
      <c r="F546" s="7"/>
      <c r="G546" s="6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7"/>
      <c r="F547" s="7"/>
      <c r="G547" s="6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7"/>
      <c r="F548" s="7"/>
      <c r="G548" s="6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7"/>
      <c r="F549" s="7"/>
      <c r="G549" s="6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7"/>
      <c r="F550" s="7"/>
      <c r="G550" s="6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7"/>
      <c r="F551" s="7"/>
      <c r="G551" s="6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7"/>
      <c r="F552" s="7"/>
      <c r="G552" s="6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7"/>
      <c r="F553" s="7"/>
      <c r="G553" s="6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7"/>
      <c r="F554" s="7"/>
      <c r="G554" s="6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7"/>
      <c r="F555" s="7"/>
      <c r="G555" s="6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7"/>
      <c r="F556" s="7"/>
      <c r="G556" s="6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7"/>
      <c r="F557" s="7"/>
      <c r="G557" s="6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7"/>
      <c r="F558" s="7"/>
      <c r="G558" s="6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7"/>
      <c r="F559" s="7"/>
      <c r="G559" s="6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7"/>
      <c r="F560" s="7"/>
      <c r="G560" s="6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7"/>
      <c r="F561" s="7"/>
      <c r="G561" s="6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7"/>
      <c r="F562" s="7"/>
      <c r="G562" s="6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7"/>
      <c r="F563" s="7"/>
      <c r="G563" s="6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7"/>
      <c r="F564" s="7"/>
      <c r="G564" s="6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7"/>
      <c r="F565" s="7"/>
      <c r="G565" s="6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7"/>
      <c r="F566" s="7"/>
      <c r="G566" s="6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7"/>
      <c r="F567" s="7"/>
      <c r="G567" s="6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7"/>
      <c r="F568" s="7"/>
      <c r="G568" s="6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7"/>
      <c r="F569" s="7"/>
      <c r="G569" s="6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7"/>
      <c r="F570" s="7"/>
      <c r="G570" s="6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7"/>
      <c r="F571" s="7"/>
      <c r="G571" s="6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7"/>
      <c r="F572" s="7"/>
      <c r="G572" s="6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7"/>
      <c r="F573" s="7"/>
      <c r="G573" s="6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7"/>
      <c r="F574" s="7"/>
      <c r="G574" s="6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7"/>
      <c r="F575" s="7"/>
      <c r="G575" s="6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7"/>
      <c r="F576" s="7"/>
      <c r="G576" s="6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7"/>
      <c r="F577" s="7"/>
      <c r="G577" s="6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7"/>
      <c r="F578" s="7"/>
      <c r="G578" s="6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7"/>
      <c r="F579" s="7"/>
      <c r="G579" s="6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7"/>
      <c r="F580" s="7"/>
      <c r="G580" s="6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7"/>
      <c r="F581" s="7"/>
      <c r="G581" s="6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7"/>
      <c r="F582" s="7"/>
      <c r="G582" s="6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7"/>
      <c r="F583" s="7"/>
      <c r="G583" s="6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7"/>
      <c r="F584" s="7"/>
      <c r="G584" s="6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7"/>
      <c r="F585" s="7"/>
      <c r="G585" s="6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7"/>
      <c r="F586" s="7"/>
      <c r="G586" s="6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7"/>
      <c r="F587" s="7"/>
      <c r="G587" s="6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7"/>
      <c r="F588" s="7"/>
      <c r="G588" s="6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7"/>
      <c r="F589" s="7"/>
      <c r="G589" s="6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7"/>
      <c r="F590" s="7"/>
      <c r="G590" s="6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7"/>
      <c r="F591" s="7"/>
      <c r="G591" s="6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7"/>
      <c r="F592" s="7"/>
      <c r="G592" s="6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7"/>
      <c r="F593" s="7"/>
      <c r="G593" s="6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7"/>
      <c r="F594" s="7"/>
      <c r="G594" s="6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7"/>
      <c r="F595" s="7"/>
      <c r="G595" s="6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7"/>
      <c r="F596" s="7"/>
      <c r="G596" s="6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7"/>
      <c r="F597" s="7"/>
      <c r="G597" s="6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7"/>
      <c r="F598" s="7"/>
      <c r="G598" s="6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7"/>
      <c r="F599" s="7"/>
      <c r="G599" s="6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7"/>
      <c r="F600" s="7"/>
      <c r="G600" s="6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7"/>
      <c r="F601" s="7"/>
      <c r="G601" s="6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7"/>
      <c r="F602" s="7"/>
      <c r="G602" s="6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7"/>
      <c r="F603" s="7"/>
      <c r="G603" s="6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7"/>
      <c r="F604" s="7"/>
      <c r="G604" s="6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7"/>
      <c r="F605" s="7"/>
      <c r="G605" s="6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7"/>
      <c r="F606" s="7"/>
      <c r="G606" s="6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7"/>
      <c r="F607" s="7"/>
      <c r="G607" s="6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7"/>
      <c r="F608" s="7"/>
      <c r="G608" s="6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7"/>
      <c r="F609" s="7"/>
      <c r="G609" s="6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7"/>
      <c r="F610" s="7"/>
      <c r="G610" s="6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7"/>
      <c r="F611" s="7"/>
      <c r="G611" s="6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7"/>
      <c r="F612" s="7"/>
      <c r="G612" s="6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7"/>
      <c r="F613" s="7"/>
      <c r="G613" s="6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7"/>
      <c r="F614" s="7"/>
      <c r="G614" s="6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7"/>
      <c r="F615" s="7"/>
      <c r="G615" s="6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7"/>
      <c r="F616" s="7"/>
      <c r="G616" s="6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7"/>
      <c r="F617" s="7"/>
      <c r="G617" s="6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7"/>
      <c r="F618" s="7"/>
      <c r="G618" s="6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7"/>
      <c r="F619" s="7"/>
      <c r="G619" s="6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7"/>
      <c r="F620" s="7"/>
      <c r="G620" s="6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7"/>
      <c r="F621" s="7"/>
      <c r="G621" s="6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7"/>
      <c r="F622" s="7"/>
      <c r="G622" s="6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7"/>
      <c r="F623" s="7"/>
      <c r="G623" s="6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7"/>
      <c r="F624" s="7"/>
      <c r="G624" s="6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7"/>
      <c r="F625" s="7"/>
      <c r="G625" s="6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7"/>
      <c r="F626" s="7"/>
      <c r="G626" s="6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7"/>
      <c r="F627" s="7"/>
      <c r="G627" s="6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7"/>
      <c r="F628" s="7"/>
      <c r="G628" s="6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7"/>
      <c r="F629" s="7"/>
      <c r="G629" s="6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7"/>
      <c r="F630" s="7"/>
      <c r="G630" s="6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7"/>
      <c r="F631" s="7"/>
      <c r="G631" s="6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7"/>
      <c r="F632" s="7"/>
      <c r="G632" s="6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7"/>
      <c r="F633" s="7"/>
      <c r="G633" s="6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7"/>
      <c r="F634" s="7"/>
      <c r="G634" s="6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7"/>
      <c r="F635" s="7"/>
      <c r="G635" s="6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7"/>
      <c r="F636" s="7"/>
      <c r="G636" s="6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7"/>
      <c r="F637" s="7"/>
      <c r="G637" s="6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7"/>
      <c r="F638" s="7"/>
      <c r="G638" s="6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7"/>
      <c r="F639" s="7"/>
      <c r="G639" s="6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7"/>
      <c r="F640" s="7"/>
      <c r="G640" s="6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7"/>
      <c r="F641" s="7"/>
      <c r="G641" s="6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7"/>
      <c r="F642" s="7"/>
      <c r="G642" s="6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7"/>
      <c r="F643" s="7"/>
      <c r="G643" s="6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7"/>
      <c r="F644" s="7"/>
      <c r="G644" s="6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7"/>
      <c r="F645" s="7"/>
      <c r="G645" s="6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7"/>
      <c r="F646" s="7"/>
      <c r="G646" s="6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7"/>
      <c r="F647" s="7"/>
      <c r="G647" s="6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7"/>
      <c r="F648" s="7"/>
      <c r="G648" s="6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7"/>
      <c r="F649" s="7"/>
      <c r="G649" s="6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7"/>
      <c r="F650" s="7"/>
      <c r="G650" s="6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7"/>
      <c r="F651" s="7"/>
      <c r="G651" s="6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7"/>
      <c r="F652" s="7"/>
      <c r="G652" s="6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7"/>
      <c r="F653" s="7"/>
      <c r="G653" s="6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7"/>
      <c r="F654" s="7"/>
      <c r="G654" s="6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7"/>
      <c r="F655" s="7"/>
      <c r="G655" s="6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7"/>
      <c r="F656" s="7"/>
      <c r="G656" s="6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7"/>
      <c r="F657" s="7"/>
      <c r="G657" s="6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7"/>
      <c r="F658" s="7"/>
      <c r="G658" s="6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7"/>
      <c r="F659" s="7"/>
      <c r="G659" s="6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7"/>
      <c r="F660" s="7"/>
      <c r="G660" s="6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7"/>
      <c r="F661" s="7"/>
      <c r="G661" s="6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7"/>
      <c r="F662" s="7"/>
      <c r="G662" s="6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7"/>
      <c r="F663" s="7"/>
      <c r="G663" s="6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7"/>
      <c r="F664" s="7"/>
      <c r="G664" s="6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7"/>
      <c r="F665" s="7"/>
      <c r="G665" s="6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7"/>
      <c r="F666" s="7"/>
      <c r="G666" s="6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7"/>
      <c r="F667" s="7"/>
      <c r="G667" s="6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7"/>
      <c r="F668" s="7"/>
      <c r="G668" s="6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7"/>
      <c r="F669" s="7"/>
      <c r="G669" s="6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7"/>
      <c r="F670" s="7"/>
      <c r="G670" s="6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7"/>
      <c r="F671" s="7"/>
      <c r="G671" s="6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7"/>
      <c r="F672" s="7"/>
      <c r="G672" s="6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7"/>
      <c r="F673" s="7"/>
      <c r="G673" s="6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7"/>
      <c r="F674" s="7"/>
      <c r="G674" s="6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7"/>
      <c r="F675" s="7"/>
      <c r="G675" s="6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7"/>
      <c r="F676" s="7"/>
      <c r="G676" s="6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7"/>
      <c r="F677" s="7"/>
      <c r="G677" s="6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7"/>
      <c r="F678" s="7"/>
      <c r="G678" s="6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7"/>
      <c r="F679" s="7"/>
      <c r="G679" s="6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7"/>
      <c r="F680" s="7"/>
      <c r="G680" s="6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7"/>
      <c r="F681" s="7"/>
      <c r="G681" s="6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7"/>
      <c r="F682" s="7"/>
      <c r="G682" s="6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7"/>
      <c r="F683" s="7"/>
      <c r="G683" s="6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7"/>
      <c r="F684" s="7"/>
      <c r="G684" s="6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7"/>
      <c r="F685" s="7"/>
      <c r="G685" s="6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7"/>
      <c r="F686" s="7"/>
      <c r="G686" s="6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7"/>
      <c r="F687" s="7"/>
      <c r="G687" s="6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7"/>
      <c r="F688" s="7"/>
      <c r="G688" s="6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7"/>
      <c r="F689" s="7"/>
      <c r="G689" s="6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7"/>
      <c r="F690" s="7"/>
      <c r="G690" s="6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7"/>
      <c r="F691" s="7"/>
      <c r="G691" s="6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7"/>
      <c r="F692" s="7"/>
      <c r="G692" s="6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7"/>
      <c r="F693" s="7"/>
      <c r="G693" s="6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7"/>
      <c r="F694" s="7"/>
      <c r="G694" s="6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7"/>
      <c r="F695" s="7"/>
      <c r="G695" s="6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7"/>
      <c r="F696" s="7"/>
      <c r="G696" s="6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7"/>
      <c r="F697" s="7"/>
      <c r="G697" s="6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7"/>
      <c r="F698" s="7"/>
      <c r="G698" s="6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7"/>
      <c r="F699" s="7"/>
      <c r="G699" s="6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7"/>
      <c r="F700" s="7"/>
      <c r="G700" s="6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7"/>
      <c r="F701" s="7"/>
      <c r="G701" s="6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7"/>
      <c r="F702" s="7"/>
      <c r="G702" s="6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7"/>
      <c r="F703" s="7"/>
      <c r="G703" s="6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7"/>
      <c r="F704" s="7"/>
      <c r="G704" s="6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7"/>
      <c r="F705" s="7"/>
      <c r="G705" s="6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7"/>
      <c r="F706" s="7"/>
      <c r="G706" s="6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7"/>
      <c r="F707" s="7"/>
      <c r="G707" s="6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7"/>
      <c r="F708" s="7"/>
      <c r="G708" s="6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7"/>
      <c r="F709" s="7"/>
      <c r="G709" s="6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7"/>
      <c r="F710" s="7"/>
      <c r="G710" s="6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7"/>
      <c r="F711" s="7"/>
      <c r="G711" s="6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7"/>
      <c r="F712" s="7"/>
      <c r="G712" s="6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7"/>
      <c r="F713" s="7"/>
      <c r="G713" s="6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7"/>
      <c r="F714" s="7"/>
      <c r="G714" s="6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7"/>
      <c r="F715" s="7"/>
      <c r="G715" s="6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7"/>
      <c r="F716" s="7"/>
      <c r="G716" s="6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7"/>
      <c r="F717" s="7"/>
      <c r="G717" s="6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7"/>
      <c r="F718" s="7"/>
      <c r="G718" s="6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7"/>
      <c r="F719" s="7"/>
      <c r="G719" s="6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7"/>
      <c r="F720" s="7"/>
      <c r="G720" s="6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7"/>
      <c r="F721" s="7"/>
      <c r="G721" s="6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7"/>
      <c r="F722" s="7"/>
      <c r="G722" s="6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7"/>
      <c r="F723" s="7"/>
      <c r="G723" s="6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7"/>
      <c r="F724" s="7"/>
      <c r="G724" s="6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7"/>
      <c r="F725" s="7"/>
      <c r="G725" s="6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7"/>
      <c r="F726" s="7"/>
      <c r="G726" s="6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7"/>
      <c r="F727" s="7"/>
      <c r="G727" s="6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7"/>
      <c r="F728" s="7"/>
      <c r="G728" s="6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7"/>
      <c r="F729" s="7"/>
      <c r="G729" s="6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7"/>
      <c r="F730" s="7"/>
      <c r="G730" s="6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7"/>
      <c r="F731" s="7"/>
      <c r="G731" s="6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7"/>
      <c r="F732" s="7"/>
      <c r="G732" s="6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7"/>
      <c r="F733" s="7"/>
      <c r="G733" s="6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7"/>
      <c r="F734" s="7"/>
      <c r="G734" s="6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7"/>
      <c r="F735" s="7"/>
      <c r="G735" s="6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7"/>
      <c r="F736" s="7"/>
      <c r="G736" s="6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7"/>
      <c r="F737" s="7"/>
      <c r="G737" s="6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7"/>
      <c r="F738" s="7"/>
      <c r="G738" s="6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7"/>
      <c r="F739" s="7"/>
      <c r="G739" s="6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7"/>
      <c r="F740" s="7"/>
      <c r="G740" s="6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7"/>
      <c r="F741" s="7"/>
      <c r="G741" s="6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7"/>
      <c r="F742" s="7"/>
      <c r="G742" s="6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7"/>
      <c r="F743" s="7"/>
      <c r="G743" s="6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7"/>
      <c r="F744" s="7"/>
      <c r="G744" s="6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7"/>
      <c r="F745" s="7"/>
      <c r="G745" s="6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7"/>
      <c r="F746" s="7"/>
      <c r="G746" s="6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7"/>
      <c r="F747" s="7"/>
      <c r="G747" s="6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7"/>
      <c r="F748" s="7"/>
      <c r="G748" s="6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7"/>
      <c r="F749" s="7"/>
      <c r="G749" s="6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7"/>
      <c r="F750" s="7"/>
      <c r="G750" s="6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7"/>
      <c r="F751" s="7"/>
      <c r="G751" s="6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7"/>
      <c r="F752" s="7"/>
      <c r="G752" s="6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7"/>
      <c r="F753" s="7"/>
      <c r="G753" s="6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7"/>
      <c r="F754" s="7"/>
      <c r="G754" s="6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7"/>
      <c r="F755" s="7"/>
      <c r="G755" s="6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7"/>
      <c r="F756" s="7"/>
      <c r="G756" s="6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7"/>
      <c r="F757" s="7"/>
      <c r="G757" s="6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7"/>
      <c r="F758" s="7"/>
      <c r="G758" s="6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7"/>
      <c r="F759" s="7"/>
      <c r="G759" s="6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7"/>
      <c r="F760" s="7"/>
      <c r="G760" s="6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7"/>
      <c r="F761" s="7"/>
      <c r="G761" s="6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7"/>
      <c r="F762" s="7"/>
      <c r="G762" s="6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7"/>
      <c r="F763" s="7"/>
      <c r="G763" s="6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7"/>
      <c r="F764" s="7"/>
      <c r="G764" s="6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7"/>
      <c r="F765" s="7"/>
      <c r="G765" s="6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7"/>
      <c r="F766" s="7"/>
      <c r="G766" s="6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7"/>
      <c r="F767" s="7"/>
      <c r="G767" s="6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7"/>
      <c r="F768" s="7"/>
      <c r="G768" s="6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7"/>
      <c r="F769" s="7"/>
      <c r="G769" s="6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7"/>
      <c r="F770" s="7"/>
      <c r="G770" s="6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7"/>
      <c r="F771" s="7"/>
      <c r="G771" s="6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7"/>
      <c r="F772" s="7"/>
      <c r="G772" s="6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7"/>
      <c r="F773" s="7"/>
      <c r="G773" s="6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7"/>
      <c r="F774" s="7"/>
      <c r="G774" s="6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7"/>
      <c r="F775" s="7"/>
      <c r="G775" s="6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7"/>
      <c r="F776" s="7"/>
      <c r="G776" s="6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7"/>
      <c r="F777" s="7"/>
      <c r="G777" s="6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7"/>
      <c r="F778" s="7"/>
      <c r="G778" s="6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7"/>
      <c r="F779" s="7"/>
      <c r="G779" s="6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7"/>
      <c r="F780" s="7"/>
      <c r="G780" s="6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7"/>
      <c r="F781" s="7"/>
      <c r="G781" s="6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7"/>
      <c r="F782" s="7"/>
      <c r="G782" s="6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7"/>
      <c r="F783" s="7"/>
      <c r="G783" s="6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7"/>
      <c r="F784" s="7"/>
      <c r="G784" s="6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7"/>
      <c r="F785" s="7"/>
      <c r="G785" s="6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7"/>
      <c r="F786" s="7"/>
      <c r="G786" s="6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7"/>
      <c r="F787" s="7"/>
      <c r="G787" s="6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7"/>
      <c r="F788" s="7"/>
      <c r="G788" s="6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7"/>
      <c r="F789" s="7"/>
      <c r="G789" s="6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7"/>
      <c r="F790" s="7"/>
      <c r="G790" s="6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7"/>
      <c r="F791" s="7"/>
      <c r="G791" s="6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7"/>
      <c r="F792" s="7"/>
      <c r="G792" s="6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7"/>
      <c r="F793" s="7"/>
      <c r="G793" s="6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7"/>
      <c r="F794" s="7"/>
      <c r="G794" s="6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7"/>
      <c r="F795" s="7"/>
      <c r="G795" s="6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7"/>
      <c r="F796" s="7"/>
      <c r="G796" s="6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7"/>
      <c r="F797" s="7"/>
      <c r="G797" s="6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7"/>
      <c r="F798" s="7"/>
      <c r="G798" s="6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7"/>
      <c r="F799" s="7"/>
      <c r="G799" s="6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7"/>
      <c r="F800" s="7"/>
      <c r="G800" s="6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7"/>
      <c r="F801" s="7"/>
      <c r="G801" s="6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7"/>
      <c r="F802" s="7"/>
      <c r="G802" s="6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7"/>
      <c r="F803" s="7"/>
      <c r="G803" s="6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7"/>
      <c r="F804" s="7"/>
      <c r="G804" s="6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7"/>
      <c r="F805" s="7"/>
      <c r="G805" s="6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7"/>
      <c r="F806" s="7"/>
      <c r="G806" s="6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7"/>
      <c r="F807" s="7"/>
      <c r="G807" s="6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7"/>
      <c r="F808" s="7"/>
      <c r="G808" s="6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7"/>
      <c r="F809" s="7"/>
      <c r="G809" s="6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7"/>
      <c r="F810" s="7"/>
      <c r="G810" s="6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7"/>
      <c r="F811" s="7"/>
      <c r="G811" s="6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7"/>
      <c r="F812" s="7"/>
      <c r="G812" s="6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7"/>
      <c r="F813" s="7"/>
      <c r="G813" s="6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7"/>
      <c r="F814" s="7"/>
      <c r="G814" s="6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7"/>
      <c r="F815" s="7"/>
      <c r="G815" s="6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7"/>
      <c r="F816" s="7"/>
      <c r="G816" s="6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7"/>
      <c r="F817" s="7"/>
      <c r="G817" s="6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7"/>
      <c r="F818" s="7"/>
      <c r="G818" s="6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7"/>
      <c r="F819" s="7"/>
      <c r="G819" s="6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7"/>
      <c r="F820" s="7"/>
      <c r="G820" s="6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7"/>
      <c r="F821" s="7"/>
      <c r="G821" s="6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7"/>
      <c r="F822" s="7"/>
      <c r="G822" s="6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7"/>
      <c r="F823" s="7"/>
      <c r="G823" s="6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7"/>
      <c r="F824" s="7"/>
      <c r="G824" s="6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7"/>
      <c r="F825" s="7"/>
      <c r="G825" s="6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7"/>
      <c r="F826" s="7"/>
      <c r="G826" s="6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7"/>
      <c r="F827" s="7"/>
      <c r="G827" s="6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7"/>
      <c r="F828" s="7"/>
      <c r="G828" s="6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7"/>
      <c r="F829" s="7"/>
      <c r="G829" s="6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7"/>
      <c r="F830" s="7"/>
      <c r="G830" s="6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7"/>
      <c r="F831" s="7"/>
      <c r="G831" s="6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7"/>
      <c r="F832" s="7"/>
      <c r="G832" s="6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7"/>
      <c r="F833" s="7"/>
      <c r="G833" s="6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7"/>
      <c r="F834" s="7"/>
      <c r="G834" s="6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7"/>
      <c r="F835" s="7"/>
      <c r="G835" s="6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7"/>
      <c r="F836" s="7"/>
      <c r="G836" s="6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7"/>
      <c r="F837" s="7"/>
      <c r="G837" s="6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7"/>
      <c r="F838" s="7"/>
      <c r="G838" s="6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7"/>
      <c r="F839" s="7"/>
      <c r="G839" s="6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7"/>
      <c r="F840" s="7"/>
      <c r="G840" s="6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7"/>
      <c r="F841" s="7"/>
      <c r="G841" s="6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7"/>
      <c r="F842" s="7"/>
      <c r="G842" s="6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7"/>
      <c r="F843" s="7"/>
      <c r="G843" s="6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7"/>
      <c r="F844" s="7"/>
      <c r="G844" s="6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7"/>
      <c r="F845" s="7"/>
      <c r="G845" s="6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7"/>
      <c r="F846" s="7"/>
      <c r="G846" s="6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7"/>
      <c r="F847" s="7"/>
      <c r="G847" s="6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7"/>
      <c r="F848" s="7"/>
      <c r="G848" s="6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7"/>
      <c r="F849" s="7"/>
      <c r="G849" s="6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7"/>
      <c r="F850" s="7"/>
      <c r="G850" s="6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7"/>
      <c r="F851" s="7"/>
      <c r="G851" s="6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7"/>
      <c r="F852" s="7"/>
      <c r="G852" s="6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7"/>
      <c r="F853" s="7"/>
      <c r="G853" s="6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7"/>
      <c r="F854" s="7"/>
      <c r="G854" s="6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7"/>
      <c r="F855" s="7"/>
      <c r="G855" s="6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7"/>
      <c r="F856" s="7"/>
      <c r="G856" s="6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7"/>
      <c r="F857" s="7"/>
      <c r="G857" s="6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7"/>
      <c r="F858" s="7"/>
      <c r="G858" s="6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7"/>
      <c r="F859" s="7"/>
      <c r="G859" s="6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7"/>
      <c r="F860" s="7"/>
      <c r="G860" s="6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7"/>
      <c r="F861" s="7"/>
      <c r="G861" s="6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7"/>
      <c r="F862" s="7"/>
      <c r="G862" s="6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7"/>
      <c r="F863" s="7"/>
      <c r="G863" s="6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7"/>
      <c r="F864" s="7"/>
      <c r="G864" s="6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7"/>
      <c r="F865" s="7"/>
      <c r="G865" s="6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7"/>
      <c r="F866" s="7"/>
      <c r="G866" s="6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7"/>
      <c r="F867" s="7"/>
      <c r="G867" s="6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7"/>
      <c r="F868" s="7"/>
      <c r="G868" s="6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7"/>
      <c r="F869" s="7"/>
      <c r="G869" s="6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7"/>
      <c r="F870" s="7"/>
      <c r="G870" s="6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7"/>
      <c r="F871" s="7"/>
      <c r="G871" s="6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7"/>
      <c r="F872" s="7"/>
      <c r="G872" s="6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7"/>
      <c r="F873" s="7"/>
      <c r="G873" s="6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7"/>
      <c r="F874" s="7"/>
      <c r="G874" s="6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7"/>
      <c r="F875" s="7"/>
      <c r="G875" s="6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7"/>
      <c r="F876" s="7"/>
      <c r="G876" s="6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7"/>
      <c r="F877" s="7"/>
      <c r="G877" s="6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7"/>
      <c r="F878" s="7"/>
      <c r="G878" s="6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7"/>
      <c r="F879" s="7"/>
      <c r="G879" s="6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7"/>
      <c r="F880" s="7"/>
      <c r="G880" s="6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7"/>
      <c r="F881" s="7"/>
      <c r="G881" s="6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7"/>
      <c r="F882" s="7"/>
      <c r="G882" s="6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7"/>
      <c r="F883" s="7"/>
      <c r="G883" s="6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7"/>
      <c r="F884" s="7"/>
      <c r="G884" s="6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7"/>
      <c r="F885" s="7"/>
      <c r="G885" s="6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7"/>
      <c r="F886" s="7"/>
      <c r="G886" s="6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7"/>
      <c r="F887" s="7"/>
      <c r="G887" s="6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7"/>
      <c r="F888" s="7"/>
      <c r="G888" s="6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7"/>
      <c r="F889" s="7"/>
      <c r="G889" s="6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7"/>
      <c r="F890" s="7"/>
      <c r="G890" s="6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7"/>
      <c r="F891" s="7"/>
      <c r="G891" s="6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7"/>
      <c r="F892" s="7"/>
      <c r="G892" s="6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7"/>
      <c r="F893" s="7"/>
      <c r="G893" s="6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7"/>
      <c r="F894" s="7"/>
      <c r="G894" s="6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7"/>
      <c r="F895" s="7"/>
      <c r="G895" s="6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7"/>
      <c r="F896" s="7"/>
      <c r="G896" s="6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7"/>
      <c r="F897" s="7"/>
      <c r="G897" s="6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7"/>
      <c r="F898" s="7"/>
      <c r="G898" s="6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7"/>
      <c r="F899" s="7"/>
      <c r="G899" s="6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7"/>
      <c r="F900" s="7"/>
      <c r="G900" s="6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7"/>
      <c r="F901" s="7"/>
      <c r="G901" s="6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7"/>
      <c r="F902" s="7"/>
      <c r="G902" s="6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7"/>
      <c r="F903" s="7"/>
      <c r="G903" s="6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7"/>
      <c r="F904" s="7"/>
      <c r="G904" s="6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7"/>
      <c r="F905" s="7"/>
      <c r="G905" s="6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7"/>
      <c r="F906" s="7"/>
      <c r="G906" s="6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7"/>
      <c r="F907" s="7"/>
      <c r="G907" s="6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7"/>
      <c r="F908" s="7"/>
      <c r="G908" s="6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7"/>
      <c r="F909" s="7"/>
      <c r="G909" s="6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7"/>
      <c r="F910" s="7"/>
      <c r="G910" s="6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7"/>
      <c r="F911" s="7"/>
      <c r="G911" s="6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7"/>
      <c r="F912" s="7"/>
      <c r="G912" s="6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7"/>
      <c r="F913" s="7"/>
      <c r="G913" s="6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7"/>
      <c r="F914" s="7"/>
      <c r="G914" s="6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7"/>
      <c r="F915" s="7"/>
      <c r="G915" s="6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7"/>
      <c r="F916" s="7"/>
      <c r="G916" s="6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7"/>
      <c r="F917" s="7"/>
      <c r="G917" s="6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7"/>
      <c r="F918" s="7"/>
      <c r="G918" s="6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7"/>
      <c r="F919" s="7"/>
      <c r="G919" s="6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7"/>
      <c r="F920" s="7"/>
      <c r="G920" s="6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7"/>
      <c r="F921" s="7"/>
      <c r="G921" s="6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7"/>
      <c r="F922" s="7"/>
      <c r="G922" s="6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7"/>
      <c r="F923" s="7"/>
      <c r="G923" s="6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7"/>
      <c r="F924" s="7"/>
      <c r="G924" s="6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7"/>
      <c r="F925" s="7"/>
      <c r="G925" s="6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7"/>
      <c r="F926" s="7"/>
      <c r="G926" s="6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7"/>
      <c r="F927" s="7"/>
      <c r="G927" s="6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7"/>
      <c r="F928" s="7"/>
      <c r="G928" s="6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7"/>
      <c r="F929" s="7"/>
      <c r="G929" s="6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7"/>
      <c r="F930" s="7"/>
      <c r="G930" s="6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7"/>
      <c r="F931" s="7"/>
      <c r="G931" s="6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7"/>
      <c r="F932" s="7"/>
      <c r="G932" s="6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7"/>
      <c r="F933" s="7"/>
      <c r="G933" s="6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7"/>
      <c r="F934" s="7"/>
      <c r="G934" s="6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7"/>
      <c r="F935" s="7"/>
      <c r="G935" s="6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7"/>
      <c r="F936" s="7"/>
      <c r="G936" s="6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7"/>
      <c r="F937" s="7"/>
      <c r="G937" s="6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7"/>
      <c r="F938" s="7"/>
      <c r="G938" s="6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7"/>
      <c r="F939" s="7"/>
      <c r="G939" s="6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7"/>
      <c r="F940" s="7"/>
      <c r="G940" s="6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7"/>
      <c r="F941" s="7"/>
      <c r="G941" s="6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7"/>
      <c r="F942" s="7"/>
      <c r="G942" s="6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7"/>
      <c r="F943" s="7"/>
      <c r="G943" s="6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7"/>
      <c r="F944" s="7"/>
      <c r="G944" s="6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7"/>
      <c r="F945" s="7"/>
      <c r="G945" s="6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7"/>
      <c r="F946" s="7"/>
      <c r="G946" s="6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7"/>
      <c r="F947" s="7"/>
      <c r="G947" s="6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7"/>
      <c r="F948" s="7"/>
      <c r="G948" s="6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7"/>
      <c r="F949" s="7"/>
      <c r="G949" s="6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7"/>
      <c r="F950" s="7"/>
      <c r="G950" s="6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7"/>
      <c r="F951" s="7"/>
      <c r="G951" s="6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7"/>
      <c r="F952" s="7"/>
      <c r="G952" s="6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7"/>
      <c r="F953" s="7"/>
      <c r="G953" s="6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7"/>
      <c r="F954" s="7"/>
      <c r="G954" s="6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7"/>
      <c r="F955" s="7"/>
      <c r="G955" s="6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7"/>
      <c r="F956" s="7"/>
      <c r="G956" s="6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7"/>
      <c r="F957" s="7"/>
      <c r="G957" s="6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7"/>
      <c r="F958" s="7"/>
      <c r="G958" s="6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7"/>
      <c r="F959" s="7"/>
      <c r="G959" s="6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7"/>
      <c r="F960" s="7"/>
      <c r="G960" s="6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7"/>
      <c r="F961" s="7"/>
      <c r="G961" s="6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7"/>
      <c r="F962" s="7"/>
      <c r="G962" s="6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7"/>
      <c r="F963" s="7"/>
      <c r="G963" s="6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7"/>
      <c r="F964" s="7"/>
      <c r="G964" s="6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7"/>
      <c r="F965" s="7"/>
      <c r="G965" s="6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7"/>
      <c r="F966" s="7"/>
      <c r="G966" s="6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7"/>
      <c r="F967" s="7"/>
      <c r="G967" s="6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7"/>
      <c r="F968" s="7"/>
      <c r="G968" s="6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7"/>
      <c r="F969" s="7"/>
      <c r="G969" s="6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7"/>
      <c r="F970" s="7"/>
      <c r="G970" s="6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7"/>
      <c r="F971" s="7"/>
      <c r="G971" s="6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7"/>
      <c r="F972" s="7"/>
      <c r="G972" s="6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7"/>
      <c r="F973" s="7"/>
      <c r="G973" s="6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7"/>
      <c r="F974" s="7"/>
      <c r="G974" s="6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7"/>
      <c r="F975" s="7"/>
      <c r="G975" s="6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7"/>
      <c r="F976" s="7"/>
      <c r="G976" s="6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7"/>
      <c r="F977" s="7"/>
      <c r="G977" s="6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7"/>
      <c r="F978" s="7"/>
      <c r="G978" s="6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7"/>
      <c r="F979" s="7"/>
      <c r="G979" s="6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7"/>
      <c r="F980" s="7"/>
      <c r="G980" s="6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7"/>
      <c r="F981" s="7"/>
      <c r="G981" s="6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7"/>
      <c r="F982" s="7"/>
      <c r="G982" s="6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7"/>
      <c r="F983" s="7"/>
      <c r="G983" s="6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7"/>
      <c r="F984" s="7"/>
      <c r="G984" s="6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7"/>
      <c r="F985" s="7"/>
      <c r="G985" s="6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7"/>
      <c r="F986" s="7"/>
      <c r="G986" s="6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7"/>
      <c r="F987" s="7"/>
      <c r="G987" s="6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7"/>
      <c r="F988" s="7"/>
      <c r="G988" s="6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7"/>
      <c r="F989" s="7"/>
      <c r="G989" s="6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7"/>
      <c r="F990" s="7"/>
      <c r="G990" s="6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7"/>
      <c r="F991" s="7"/>
      <c r="G991" s="6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7"/>
      <c r="F992" s="7"/>
      <c r="G992" s="6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7"/>
      <c r="F993" s="7"/>
      <c r="G993" s="6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7"/>
      <c r="F994" s="7"/>
      <c r="G994" s="6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7"/>
      <c r="F995" s="7"/>
      <c r="G995" s="6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7"/>
      <c r="F996" s="7"/>
      <c r="G996" s="6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7"/>
      <c r="F997" s="7"/>
      <c r="G997" s="6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/>
      <c r="B998" s="7"/>
      <c r="C998" s="7"/>
      <c r="D998" s="7"/>
      <c r="E998" s="7"/>
      <c r="F998" s="7"/>
      <c r="G998" s="6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/>
      <c r="B999" s="7"/>
      <c r="C999" s="7"/>
      <c r="D999" s="7"/>
      <c r="E999" s="7"/>
      <c r="F999" s="7"/>
      <c r="G999" s="6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/>
      <c r="B1000" s="7"/>
      <c r="C1000" s="7"/>
      <c r="D1000" s="7"/>
      <c r="E1000" s="7"/>
      <c r="F1000" s="7"/>
      <c r="G1000" s="6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31496062992125984" right="0.31496062992125984" top="0.74803149606299213" bottom="0.35433070866141736" header="0" footer="0"/>
  <pageSetup paperSize="9" orientation="landscape"/>
</worksheet>
</file>

<file path=docMetadata/LabelInfo.xml><?xml version="1.0" encoding="utf-8"?>
<clbl:labelList xmlns:clbl="http://schemas.microsoft.com/office/2020/mipLabelMetadata">
  <clbl:label id="{0cf5f2d6-3274-46a1-b6c8-b3b38d0e2674}" enabled="1" method="Standard" siteId="{23ce2f4f-ed18-467a-9914-ff21a13bb3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הערות לקבלן</vt:lpstr>
      <vt:lpstr>הריסה </vt:lpstr>
      <vt:lpstr>בניה</vt:lpstr>
      <vt:lpstr>חשמל ותקשורת </vt:lpstr>
      <vt:lpstr>אינסטלציה</vt:lpstr>
      <vt:lpstr>חיפוי וריצוף</vt:lpstr>
      <vt:lpstr>Sheet2</vt:lpstr>
      <vt:lpstr>Sheet3</vt:lpstr>
      <vt:lpstr>טיח צבע ושפכטל</vt:lpstr>
      <vt:lpstr>איטום</vt:lpstr>
      <vt:lpstr>דלתות וחלונות</vt:lpstr>
      <vt:lpstr>חוץ ושונות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אוסישקין</dc:creator>
  <cp:lastModifiedBy>Meir Oren</cp:lastModifiedBy>
  <dcterms:created xsi:type="dcterms:W3CDTF">2003-11-24T12:27:29Z</dcterms:created>
  <dcterms:modified xsi:type="dcterms:W3CDTF">2026-02-12T12:09:25Z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2025-03-12T15:39:31Z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bc20dfc7-5069-44b8-8a99-65d099e58087</vt:lpwstr>
  </property>
  <property fmtid="{D5CDD505-2E9C-101B-9397-08002B2CF9AE}" pid="8" name="MSIP_Label_ec3caa80-b45a-41c4-be35-6a080a795a59_ContentBits">
    <vt:lpwstr>0</vt:lpwstr>
  </property>
  <property fmtid="{D5CDD505-2E9C-101B-9397-08002B2CF9AE}" pid="9" name="MSIP_Label_0cf5f2d6-3274-46a1-b6c8-b3b38d0e2674_Enabled">
    <vt:lpwstr>true</vt:lpwstr>
  </property>
  <property fmtid="{D5CDD505-2E9C-101B-9397-08002B2CF9AE}" pid="10" name="MSIP_Label_0cf5f2d6-3274-46a1-b6c8-b3b38d0e2674_SetDate">
    <vt:lpwstr>2025-03-27T16:48:00Z</vt:lpwstr>
  </property>
  <property fmtid="{D5CDD505-2E9C-101B-9397-08002B2CF9AE}" pid="11" name="MSIP_Label_0cf5f2d6-3274-46a1-b6c8-b3b38d0e2674_Method">
    <vt:lpwstr>Standard</vt:lpwstr>
  </property>
  <property fmtid="{D5CDD505-2E9C-101B-9397-08002B2CF9AE}" pid="12" name="MSIP_Label_0cf5f2d6-3274-46a1-b6c8-b3b38d0e2674_Name">
    <vt:lpwstr>Elbit Official</vt:lpwstr>
  </property>
  <property fmtid="{D5CDD505-2E9C-101B-9397-08002B2CF9AE}" pid="13" name="MSIP_Label_0cf5f2d6-3274-46a1-b6c8-b3b38d0e2674_SiteId">
    <vt:lpwstr>23ce2f4f-ed18-467a-9914-ff21a13bb3ae</vt:lpwstr>
  </property>
  <property fmtid="{D5CDD505-2E9C-101B-9397-08002B2CF9AE}" pid="14" name="MSIP_Label_0cf5f2d6-3274-46a1-b6c8-b3b38d0e2674_ActionId">
    <vt:lpwstr>fb354167-5ddb-4af0-8791-e78cc36c4718</vt:lpwstr>
  </property>
  <property fmtid="{D5CDD505-2E9C-101B-9397-08002B2CF9AE}" pid="15" name="MSIP_Label_0cf5f2d6-3274-46a1-b6c8-b3b38d0e2674_ContentBits">
    <vt:lpwstr>0</vt:lpwstr>
  </property>
  <property fmtid="{D5CDD505-2E9C-101B-9397-08002B2CF9AE}" pid="16" name="MSIP_Label_0cf5f2d6-3274-46a1-b6c8-b3b38d0e2674_Tag">
    <vt:lpwstr>10, 3, 0, 1</vt:lpwstr>
  </property>
</Properties>
</file>